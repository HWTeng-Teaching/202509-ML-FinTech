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Data\selfdata\University\11401\ML and Fintech\Final\"/>
    </mc:Choice>
  </mc:AlternateContent>
  <xr:revisionPtr revIDLastSave="0" documentId="13_ncr:1_{8B8F5E04-4DFA-4CAC-B9E1-CCD0EF482FBD}" xr6:coauthVersionLast="47" xr6:coauthVersionMax="47" xr10:uidLastSave="{00000000-0000-0000-0000-000000000000}"/>
  <bookViews>
    <workbookView xWindow="-110" yWindow="-110" windowWidth="25820" windowHeight="13900" activeTab="1" xr2:uid="{B8B0D3BE-BE45-40B5-8AA9-ABA07E663689}"/>
  </bookViews>
  <sheets>
    <sheet name="Result02" sheetId="8" r:id="rId1"/>
    <sheet name="結果" sheetId="2" r:id="rId2"/>
    <sheet name="使用方法" sheetId="1" r:id="rId3"/>
    <sheet name="Result01" sheetId="7" r:id="rId4"/>
    <sheet name="Result00" sheetId="6" r:id="rId5"/>
    <sheet name="Result_" sheetId="4" r:id="rId6"/>
  </sheets>
  <definedNames>
    <definedName name="外部資料_1" localSheetId="5" hidden="1">Result_!$A$1:$L$61</definedName>
    <definedName name="外部資料_1" localSheetId="3" hidden="1">'Result01'!$A$1:$L$40</definedName>
    <definedName name="外部資料_1" localSheetId="0" hidden="1">'Result02'!$A$1:$N$40</definedName>
    <definedName name="外部資料_2" localSheetId="4" hidden="1">Result00!$A$1:$L$45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 a="1"/>
  <c r="Q11" i="2" a="1"/>
  <c r="Q17" i="2" a="1"/>
  <c r="Q23" i="2" a="1"/>
  <c r="Q29" i="2" a="1"/>
  <c r="Q35" i="2" a="1"/>
  <c r="Q41" i="2" a="1"/>
  <c r="Q6" i="2" a="1"/>
  <c r="Q12" i="2" a="1"/>
  <c r="Q7" i="2" a="1"/>
  <c r="Q13" i="2" a="1"/>
  <c r="Q19" i="2" a="1"/>
  <c r="Q25" i="2" a="1"/>
  <c r="Q31" i="2" a="1"/>
  <c r="Q37" i="2" a="1"/>
  <c r="Q43" i="2" a="1"/>
  <c r="Q21" i="2" a="1"/>
  <c r="Q33" i="2" a="1"/>
  <c r="Q16" i="2" a="1"/>
  <c r="Q28" i="2" a="1"/>
  <c r="Q40" i="2" a="1"/>
  <c r="Q24" i="2" a="1"/>
  <c r="Q42" i="2" a="1"/>
  <c r="Q8" i="2" a="1"/>
  <c r="Q14" i="2" a="1"/>
  <c r="Q20" i="2" a="1"/>
  <c r="Q26" i="2" a="1"/>
  <c r="Q32" i="2" a="1"/>
  <c r="Q38" i="2" a="1"/>
  <c r="Q9" i="2" a="1"/>
  <c r="Q15" i="2" a="1"/>
  <c r="Q27" i="2" a="1"/>
  <c r="Q39" i="2" a="1"/>
  <c r="Q10" i="2" a="1"/>
  <c r="Q22" i="2" a="1"/>
  <c r="Q34" i="2" a="1"/>
  <c r="Q18" i="2" a="1"/>
  <c r="Q30" i="2" a="1"/>
  <c r="Q36" i="2" a="1"/>
  <c r="Q4" i="2" a="1"/>
  <c r="H13" i="2" a="1"/>
  <c r="Q36" i="2" l="1"/>
  <c r="Q30" i="2"/>
  <c r="Q18" i="2"/>
  <c r="Q34" i="2"/>
  <c r="Q22" i="2"/>
  <c r="Q10" i="2"/>
  <c r="Q39" i="2"/>
  <c r="Q27" i="2"/>
  <c r="Q15" i="2"/>
  <c r="Q9" i="2"/>
  <c r="Q38" i="2"/>
  <c r="Q32" i="2"/>
  <c r="Q26" i="2"/>
  <c r="Q20" i="2"/>
  <c r="Q14" i="2"/>
  <c r="Q8" i="2"/>
  <c r="Q42" i="2"/>
  <c r="Q24" i="2"/>
  <c r="Q40" i="2"/>
  <c r="Q28" i="2"/>
  <c r="Q16" i="2"/>
  <c r="Q33" i="2"/>
  <c r="Q21" i="2"/>
  <c r="Q43" i="2"/>
  <c r="Q37" i="2"/>
  <c r="Q31" i="2"/>
  <c r="Q25" i="2"/>
  <c r="Q19" i="2"/>
  <c r="Q13" i="2"/>
  <c r="Q7" i="2"/>
  <c r="Q12" i="2"/>
  <c r="Q6" i="2"/>
  <c r="Q41" i="2"/>
  <c r="Q35" i="2"/>
  <c r="Q29" i="2"/>
  <c r="Q23" i="2"/>
  <c r="Q17" i="2"/>
  <c r="Q11" i="2"/>
  <c r="Q5" i="2"/>
  <c r="Q4" i="2"/>
  <c r="H13" i="2"/>
  <c r="I13" i="2" a="1"/>
  <c r="I13" i="2"/>
  <c r="J13" i="2" a="1"/>
  <c r="J13" i="2"/>
  <c r="K13" i="2" a="1"/>
  <c r="K13" i="2"/>
  <c r="L13" i="2" a="1"/>
  <c r="L13" i="2"/>
  <c r="M13" i="2" a="1"/>
  <c r="M13" i="2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F3" i="2" a="1"/>
  <c r="B2" i="2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D4" i="2" a="1"/>
  <c r="B19" i="2" a="1"/>
  <c r="B19" i="2" s="1"/>
  <c r="B34" i="2" a="1"/>
  <c r="B34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4" i="2" a="1"/>
  <c r="B4" i="2" s="1"/>
  <c r="C4" i="2" s="1"/>
  <c r="H43" i="2" a="1"/>
  <c r="N43" i="2" a="1"/>
  <c r="L43" i="2" a="1"/>
  <c r="I43" i="2" a="1"/>
  <c r="O43" i="2" a="1"/>
  <c r="P43" i="2" a="1"/>
  <c r="K43" i="2" a="1"/>
  <c r="M43" i="2" a="1"/>
  <c r="J43" i="2" a="1"/>
  <c r="H5" i="2" a="1"/>
  <c r="N5" i="2" a="1"/>
  <c r="J6" i="2" a="1"/>
  <c r="P6" i="2" a="1"/>
  <c r="L7" i="2" a="1"/>
  <c r="H8" i="2" a="1"/>
  <c r="N8" i="2" a="1"/>
  <c r="J9" i="2" a="1"/>
  <c r="P9" i="2" a="1"/>
  <c r="L10" i="2" a="1"/>
  <c r="H11" i="2" a="1"/>
  <c r="N11" i="2" a="1"/>
  <c r="J12" i="2" a="1"/>
  <c r="P12" i="2" a="1"/>
  <c r="H14" i="2" a="1"/>
  <c r="N14" i="2" a="1"/>
  <c r="J15" i="2" a="1"/>
  <c r="P15" i="2" a="1"/>
  <c r="L16" i="2" a="1"/>
  <c r="H17" i="2" a="1"/>
  <c r="N17" i="2" a="1"/>
  <c r="J18" i="2" a="1"/>
  <c r="P18" i="2" a="1"/>
  <c r="L19" i="2" a="1"/>
  <c r="H20" i="2" a="1"/>
  <c r="N20" i="2" a="1"/>
  <c r="J21" i="2" a="1"/>
  <c r="P21" i="2" a="1"/>
  <c r="L22" i="2" a="1"/>
  <c r="H23" i="2" a="1"/>
  <c r="N23" i="2" a="1"/>
  <c r="J24" i="2" a="1"/>
  <c r="P24" i="2" a="1"/>
  <c r="L25" i="2" a="1"/>
  <c r="H26" i="2" a="1"/>
  <c r="N26" i="2" a="1"/>
  <c r="J27" i="2" a="1"/>
  <c r="P27" i="2" a="1"/>
  <c r="L28" i="2" a="1"/>
  <c r="H29" i="2" a="1"/>
  <c r="N29" i="2" a="1"/>
  <c r="J30" i="2" a="1"/>
  <c r="P30" i="2" a="1"/>
  <c r="L31" i="2" a="1"/>
  <c r="H32" i="2" a="1"/>
  <c r="N32" i="2" a="1"/>
  <c r="J33" i="2" a="1"/>
  <c r="P33" i="2" a="1"/>
  <c r="L34" i="2" a="1"/>
  <c r="H35" i="2" a="1"/>
  <c r="N35" i="2" a="1"/>
  <c r="J36" i="2" a="1"/>
  <c r="P36" i="2" a="1"/>
  <c r="L37" i="2" a="1"/>
  <c r="H38" i="2" a="1"/>
  <c r="N38" i="2" a="1"/>
  <c r="J39" i="2" a="1"/>
  <c r="P39" i="2" a="1"/>
  <c r="L40" i="2" a="1"/>
  <c r="H41" i="2" a="1"/>
  <c r="N41" i="2" a="1"/>
  <c r="J42" i="2" a="1"/>
  <c r="P42" i="2" a="1"/>
  <c r="I5" i="2" a="1"/>
  <c r="O5" i="2" a="1"/>
  <c r="K6" i="2" a="1"/>
  <c r="M7" i="2" a="1"/>
  <c r="I8" i="2" a="1"/>
  <c r="O8" i="2" a="1"/>
  <c r="K9" i="2" a="1"/>
  <c r="M10" i="2" a="1"/>
  <c r="I11" i="2" a="1"/>
  <c r="O11" i="2" a="1"/>
  <c r="K12" i="2" a="1"/>
  <c r="I14" i="2" a="1"/>
  <c r="O14" i="2" a="1"/>
  <c r="K15" i="2" a="1"/>
  <c r="M16" i="2" a="1"/>
  <c r="I17" i="2" a="1"/>
  <c r="O17" i="2" a="1"/>
  <c r="K18" i="2" a="1"/>
  <c r="M19" i="2" a="1"/>
  <c r="I20" i="2" a="1"/>
  <c r="O20" i="2" a="1"/>
  <c r="K21" i="2" a="1"/>
  <c r="M22" i="2" a="1"/>
  <c r="I23" i="2" a="1"/>
  <c r="O23" i="2" a="1"/>
  <c r="K24" i="2" a="1"/>
  <c r="M25" i="2" a="1"/>
  <c r="I26" i="2" a="1"/>
  <c r="O26" i="2" a="1"/>
  <c r="K27" i="2" a="1"/>
  <c r="M28" i="2" a="1"/>
  <c r="I29" i="2" a="1"/>
  <c r="O29" i="2" a="1"/>
  <c r="K30" i="2" a="1"/>
  <c r="M31" i="2" a="1"/>
  <c r="I32" i="2" a="1"/>
  <c r="O32" i="2" a="1"/>
  <c r="K33" i="2" a="1"/>
  <c r="M34" i="2" a="1"/>
  <c r="I35" i="2" a="1"/>
  <c r="O35" i="2" a="1"/>
  <c r="K36" i="2" a="1"/>
  <c r="M37" i="2" a="1"/>
  <c r="I38" i="2" a="1"/>
  <c r="O38" i="2" a="1"/>
  <c r="K39" i="2" a="1"/>
  <c r="M40" i="2" a="1"/>
  <c r="I41" i="2" a="1"/>
  <c r="O41" i="2" a="1"/>
  <c r="K42" i="2" a="1"/>
  <c r="K5" i="2" a="1"/>
  <c r="M6" i="2" a="1"/>
  <c r="I7" i="2" a="1"/>
  <c r="O7" i="2" a="1"/>
  <c r="K8" i="2" a="1"/>
  <c r="M9" i="2" a="1"/>
  <c r="I10" i="2" a="1"/>
  <c r="O10" i="2" a="1"/>
  <c r="K11" i="2" a="1"/>
  <c r="M12" i="2" a="1"/>
  <c r="O13" i="2" a="1"/>
  <c r="K14" i="2" a="1"/>
  <c r="M15" i="2" a="1"/>
  <c r="I16" i="2" a="1"/>
  <c r="O16" i="2" a="1"/>
  <c r="K17" i="2" a="1"/>
  <c r="M18" i="2" a="1"/>
  <c r="I19" i="2" a="1"/>
  <c r="O19" i="2" a="1"/>
  <c r="K20" i="2" a="1"/>
  <c r="M21" i="2" a="1"/>
  <c r="I22" i="2" a="1"/>
  <c r="O22" i="2" a="1"/>
  <c r="K23" i="2" a="1"/>
  <c r="M24" i="2" a="1"/>
  <c r="I25" i="2" a="1"/>
  <c r="O25" i="2" a="1"/>
  <c r="K26" i="2" a="1"/>
  <c r="M27" i="2" a="1"/>
  <c r="I28" i="2" a="1"/>
  <c r="O28" i="2" a="1"/>
  <c r="K29" i="2" a="1"/>
  <c r="M30" i="2" a="1"/>
  <c r="I31" i="2" a="1"/>
  <c r="O31" i="2" a="1"/>
  <c r="K32" i="2" a="1"/>
  <c r="M33" i="2" a="1"/>
  <c r="I34" i="2" a="1"/>
  <c r="O34" i="2" a="1"/>
  <c r="K35" i="2" a="1"/>
  <c r="M36" i="2" a="1"/>
  <c r="I37" i="2" a="1"/>
  <c r="O37" i="2" a="1"/>
  <c r="K38" i="2" a="1"/>
  <c r="M39" i="2" a="1"/>
  <c r="I40" i="2" a="1"/>
  <c r="O40" i="2" a="1"/>
  <c r="K41" i="2" a="1"/>
  <c r="M42" i="2" a="1"/>
  <c r="H18" i="2" a="1"/>
  <c r="N21" i="2" a="1"/>
  <c r="P22" i="2" a="1"/>
  <c r="H24" i="2" a="1"/>
  <c r="J25" i="2" a="1"/>
  <c r="L26" i="2" a="1"/>
  <c r="H27" i="2" a="1"/>
  <c r="J28" i="2" a="1"/>
  <c r="L5" i="2" a="1"/>
  <c r="H6" i="2" a="1"/>
  <c r="N6" i="2" a="1"/>
  <c r="J7" i="2" a="1"/>
  <c r="P7" i="2" a="1"/>
  <c r="L8" i="2" a="1"/>
  <c r="H9" i="2" a="1"/>
  <c r="N9" i="2" a="1"/>
  <c r="J10" i="2" a="1"/>
  <c r="P10" i="2" a="1"/>
  <c r="L11" i="2" a="1"/>
  <c r="H12" i="2" a="1"/>
  <c r="N12" i="2" a="1"/>
  <c r="P13" i="2" a="1"/>
  <c r="L14" i="2" a="1"/>
  <c r="H15" i="2" a="1"/>
  <c r="N15" i="2" a="1"/>
  <c r="J16" i="2" a="1"/>
  <c r="P16" i="2" a="1"/>
  <c r="L17" i="2" a="1"/>
  <c r="N18" i="2" a="1"/>
  <c r="J19" i="2" a="1"/>
  <c r="P19" i="2" a="1"/>
  <c r="L20" i="2" a="1"/>
  <c r="H21" i="2" a="1"/>
  <c r="J22" i="2" a="1"/>
  <c r="L23" i="2" a="1"/>
  <c r="N24" i="2" a="1"/>
  <c r="P25" i="2" a="1"/>
  <c r="J5" i="2" a="1"/>
  <c r="L9" i="2" a="1"/>
  <c r="I15" i="2" a="1"/>
  <c r="N16" i="2" a="1"/>
  <c r="K22" i="2" a="1"/>
  <c r="P23" i="2" a="1"/>
  <c r="H28" i="2" a="1"/>
  <c r="L30" i="2" a="1"/>
  <c r="L32" i="2" a="1"/>
  <c r="J34" i="2" a="1"/>
  <c r="H36" i="2" a="1"/>
  <c r="P37" i="2" a="1"/>
  <c r="N39" i="2" a="1"/>
  <c r="L41" i="2" a="1"/>
  <c r="J8" i="2" a="1"/>
  <c r="I21" i="2" a="1"/>
  <c r="N30" i="2" a="1"/>
  <c r="M32" i="2" a="1"/>
  <c r="L33" i="2" a="1"/>
  <c r="J35" i="2" a="1"/>
  <c r="H37" i="2" a="1"/>
  <c r="P38" i="2" a="1"/>
  <c r="O39" i="2" a="1"/>
  <c r="M41" i="2" a="1"/>
  <c r="O9" i="2" a="1"/>
  <c r="J11" i="2" a="1"/>
  <c r="L18" i="2" a="1"/>
  <c r="I24" i="2" a="1"/>
  <c r="K28" i="2" a="1"/>
  <c r="O12" i="2" a="1"/>
  <c r="J14" i="2" a="1"/>
  <c r="I27" i="2" a="1"/>
  <c r="P31" i="2" a="1"/>
  <c r="N33" i="2" a="1"/>
  <c r="J37" i="2" a="1"/>
  <c r="P40" i="2" a="1"/>
  <c r="P41" i="2" a="1"/>
  <c r="N13" i="2" a="1"/>
  <c r="J29" i="2" a="1"/>
  <c r="L12" i="2" a="1"/>
  <c r="I18" i="2" a="1"/>
  <c r="N19" i="2" a="1"/>
  <c r="K25" i="2" a="1"/>
  <c r="P26" i="2" a="1"/>
  <c r="L29" i="2" a="1"/>
  <c r="O6" i="2" a="1"/>
  <c r="L15" i="2" a="1"/>
  <c r="N22" i="2" a="1"/>
  <c r="N31" i="2" a="1"/>
  <c r="K34" i="2" a="1"/>
  <c r="I36" i="2" a="1"/>
  <c r="N40" i="2" a="1"/>
  <c r="L42" i="2" a="1"/>
  <c r="M5" i="2" a="1"/>
  <c r="N25" i="2" a="1"/>
  <c r="M29" i="2" a="1"/>
  <c r="H7" i="2" a="1"/>
  <c r="L21" i="2" a="1"/>
  <c r="O30" i="2" a="1"/>
  <c r="L35" i="2" a="1"/>
  <c r="H39" i="2" a="1"/>
  <c r="N42" i="2" a="1"/>
  <c r="P5" i="2" a="1"/>
  <c r="M8" i="2" a="1"/>
  <c r="H10" i="2" a="1"/>
  <c r="O15" i="2" a="1"/>
  <c r="J17" i="2" a="1"/>
  <c r="L24" i="2" a="1"/>
  <c r="N28" i="2" a="1"/>
  <c r="P29" i="2" a="1"/>
  <c r="J38" i="2" a="1"/>
  <c r="I12" i="2" a="1"/>
  <c r="M11" i="2" a="1"/>
  <c r="O18" i="2" a="1"/>
  <c r="J20" i="2" a="1"/>
  <c r="L27" i="2" a="1"/>
  <c r="P32" i="2" a="1"/>
  <c r="O33" i="2" a="1"/>
  <c r="N34" i="2" a="1"/>
  <c r="M35" i="2" a="1"/>
  <c r="L36" i="2" a="1"/>
  <c r="K37" i="2" a="1"/>
  <c r="I39" i="2" a="1"/>
  <c r="H40" i="2" a="1"/>
  <c r="O42" i="2" a="1"/>
  <c r="K7" i="2" a="1"/>
  <c r="P8" i="2" a="1"/>
  <c r="M14" i="2" a="1"/>
  <c r="H16" i="2" a="1"/>
  <c r="O21" i="2" a="1"/>
  <c r="J23" i="2" a="1"/>
  <c r="P28" i="2" a="1"/>
  <c r="H30" i="2" a="1"/>
  <c r="H31" i="2" a="1"/>
  <c r="M17" i="2" a="1"/>
  <c r="O24" i="2" a="1"/>
  <c r="N27" i="2" a="1"/>
  <c r="H33" i="2" a="1"/>
  <c r="N36" i="2" a="1"/>
  <c r="J40" i="2" a="1"/>
  <c r="N7" i="2" a="1"/>
  <c r="P14" i="2" a="1"/>
  <c r="H22" i="2" a="1"/>
  <c r="I30" i="2" a="1"/>
  <c r="N10" i="2" a="1"/>
  <c r="P17" i="2" a="1"/>
  <c r="H25" i="2" a="1"/>
  <c r="J32" i="2" a="1"/>
  <c r="H34" i="2" a="1"/>
  <c r="O36" i="2" a="1"/>
  <c r="M38" i="2" a="1"/>
  <c r="K40" i="2" a="1"/>
  <c r="I42" i="2" a="1"/>
  <c r="K19" i="2" a="1"/>
  <c r="K31" i="2" a="1"/>
  <c r="I6" i="2" a="1"/>
  <c r="K10" i="2" a="1"/>
  <c r="P11" i="2" a="1"/>
  <c r="H19" i="2" a="1"/>
  <c r="J26" i="2" a="1"/>
  <c r="P34" i="2" a="1"/>
  <c r="L38" i="2" a="1"/>
  <c r="H42" i="2" a="1"/>
  <c r="M20" i="2" a="1"/>
  <c r="J31" i="2" a="1"/>
  <c r="I9" i="2" a="1"/>
  <c r="K16" i="2" a="1"/>
  <c r="M23" i="2" a="1"/>
  <c r="O27" i="2" a="1"/>
  <c r="I33" i="2" a="1"/>
  <c r="P35" i="2" a="1"/>
  <c r="N37" i="2" a="1"/>
  <c r="L39" i="2" a="1"/>
  <c r="J41" i="2" a="1"/>
  <c r="L6" i="2" a="1"/>
  <c r="P20" i="2" a="1"/>
  <c r="M26" i="2" a="1"/>
  <c r="I4" i="2" a="1"/>
  <c r="O4" i="2" a="1"/>
  <c r="J4" i="2" a="1"/>
  <c r="P4" i="2" a="1"/>
  <c r="K4" i="2" a="1"/>
  <c r="L4" i="2" a="1"/>
  <c r="M4" i="2" a="1"/>
  <c r="N4" i="2" a="1"/>
  <c r="J43" i="2" l="1"/>
  <c r="M43" i="2"/>
  <c r="K43" i="2"/>
  <c r="P43" i="2"/>
  <c r="O43" i="2"/>
  <c r="I43" i="2"/>
  <c r="L43" i="2"/>
  <c r="N43" i="2"/>
  <c r="H43" i="2"/>
  <c r="M26" i="2"/>
  <c r="P20" i="2"/>
  <c r="L6" i="2"/>
  <c r="J41" i="2"/>
  <c r="L39" i="2"/>
  <c r="N37" i="2"/>
  <c r="P35" i="2"/>
  <c r="I33" i="2"/>
  <c r="O27" i="2"/>
  <c r="M23" i="2"/>
  <c r="K16" i="2"/>
  <c r="I9" i="2"/>
  <c r="J31" i="2"/>
  <c r="M20" i="2"/>
  <c r="H42" i="2"/>
  <c r="L38" i="2"/>
  <c r="P34" i="2"/>
  <c r="J26" i="2"/>
  <c r="H19" i="2"/>
  <c r="P11" i="2"/>
  <c r="K10" i="2"/>
  <c r="I6" i="2"/>
  <c r="K31" i="2"/>
  <c r="K19" i="2"/>
  <c r="I42" i="2"/>
  <c r="K40" i="2"/>
  <c r="M38" i="2"/>
  <c r="O36" i="2"/>
  <c r="H34" i="2"/>
  <c r="J32" i="2"/>
  <c r="H25" i="2"/>
  <c r="P17" i="2"/>
  <c r="N10" i="2"/>
  <c r="I30" i="2"/>
  <c r="H22" i="2"/>
  <c r="P14" i="2"/>
  <c r="N7" i="2"/>
  <c r="J40" i="2"/>
  <c r="N36" i="2"/>
  <c r="H33" i="2"/>
  <c r="N27" i="2"/>
  <c r="O24" i="2"/>
  <c r="M17" i="2"/>
  <c r="H31" i="2"/>
  <c r="H30" i="2"/>
  <c r="P28" i="2"/>
  <c r="J23" i="2"/>
  <c r="O21" i="2"/>
  <c r="H16" i="2"/>
  <c r="M14" i="2"/>
  <c r="P8" i="2"/>
  <c r="K7" i="2"/>
  <c r="O42" i="2"/>
  <c r="H40" i="2"/>
  <c r="I39" i="2"/>
  <c r="K37" i="2"/>
  <c r="L36" i="2"/>
  <c r="M35" i="2"/>
  <c r="N34" i="2"/>
  <c r="O33" i="2"/>
  <c r="P32" i="2"/>
  <c r="L27" i="2"/>
  <c r="J20" i="2"/>
  <c r="O18" i="2"/>
  <c r="M11" i="2"/>
  <c r="I12" i="2"/>
  <c r="J38" i="2"/>
  <c r="P29" i="2"/>
  <c r="N28" i="2"/>
  <c r="L24" i="2"/>
  <c r="J17" i="2"/>
  <c r="O15" i="2"/>
  <c r="H10" i="2"/>
  <c r="M8" i="2"/>
  <c r="P5" i="2"/>
  <c r="N42" i="2"/>
  <c r="H39" i="2"/>
  <c r="L35" i="2"/>
  <c r="O30" i="2"/>
  <c r="L21" i="2"/>
  <c r="H7" i="2"/>
  <c r="M29" i="2"/>
  <c r="N25" i="2"/>
  <c r="M5" i="2"/>
  <c r="L42" i="2"/>
  <c r="N40" i="2"/>
  <c r="I36" i="2"/>
  <c r="K34" i="2"/>
  <c r="N31" i="2"/>
  <c r="N22" i="2"/>
  <c r="L15" i="2"/>
  <c r="O6" i="2"/>
  <c r="L29" i="2"/>
  <c r="P26" i="2"/>
  <c r="K25" i="2"/>
  <c r="N19" i="2"/>
  <c r="I18" i="2"/>
  <c r="L12" i="2"/>
  <c r="J29" i="2"/>
  <c r="N13" i="2"/>
  <c r="P41" i="2"/>
  <c r="P40" i="2"/>
  <c r="J37" i="2"/>
  <c r="N33" i="2"/>
  <c r="P31" i="2"/>
  <c r="I27" i="2"/>
  <c r="J14" i="2"/>
  <c r="O12" i="2"/>
  <c r="K28" i="2"/>
  <c r="I24" i="2"/>
  <c r="L18" i="2"/>
  <c r="J11" i="2"/>
  <c r="O9" i="2"/>
  <c r="M41" i="2"/>
  <c r="O39" i="2"/>
  <c r="P38" i="2"/>
  <c r="H37" i="2"/>
  <c r="J35" i="2"/>
  <c r="L33" i="2"/>
  <c r="M32" i="2"/>
  <c r="N30" i="2"/>
  <c r="I21" i="2"/>
  <c r="J8" i="2"/>
  <c r="L41" i="2"/>
  <c r="N39" i="2"/>
  <c r="P37" i="2"/>
  <c r="H36" i="2"/>
  <c r="J34" i="2"/>
  <c r="L32" i="2"/>
  <c r="L30" i="2"/>
  <c r="H28" i="2"/>
  <c r="P23" i="2"/>
  <c r="K22" i="2"/>
  <c r="N16" i="2"/>
  <c r="I15" i="2"/>
  <c r="L9" i="2"/>
  <c r="J5" i="2"/>
  <c r="P25" i="2"/>
  <c r="N24" i="2"/>
  <c r="L23" i="2"/>
  <c r="J22" i="2"/>
  <c r="H21" i="2"/>
  <c r="L20" i="2"/>
  <c r="P19" i="2"/>
  <c r="J19" i="2"/>
  <c r="N18" i="2"/>
  <c r="L17" i="2"/>
  <c r="P16" i="2"/>
  <c r="J16" i="2"/>
  <c r="N15" i="2"/>
  <c r="H15" i="2"/>
  <c r="L14" i="2"/>
  <c r="P13" i="2"/>
  <c r="N12" i="2"/>
  <c r="H12" i="2"/>
  <c r="L11" i="2"/>
  <c r="P10" i="2"/>
  <c r="J10" i="2"/>
  <c r="N9" i="2"/>
  <c r="H9" i="2"/>
  <c r="L8" i="2"/>
  <c r="P7" i="2"/>
  <c r="J7" i="2"/>
  <c r="N6" i="2"/>
  <c r="H6" i="2"/>
  <c r="L5" i="2"/>
  <c r="J28" i="2"/>
  <c r="H27" i="2"/>
  <c r="L26" i="2"/>
  <c r="J25" i="2"/>
  <c r="H24" i="2"/>
  <c r="P22" i="2"/>
  <c r="N21" i="2"/>
  <c r="H18" i="2"/>
  <c r="M42" i="2"/>
  <c r="K41" i="2"/>
  <c r="O40" i="2"/>
  <c r="I40" i="2"/>
  <c r="M39" i="2"/>
  <c r="K38" i="2"/>
  <c r="O37" i="2"/>
  <c r="I37" i="2"/>
  <c r="M36" i="2"/>
  <c r="K35" i="2"/>
  <c r="O34" i="2"/>
  <c r="I34" i="2"/>
  <c r="M33" i="2"/>
  <c r="K32" i="2"/>
  <c r="O31" i="2"/>
  <c r="I31" i="2"/>
  <c r="M30" i="2"/>
  <c r="K29" i="2"/>
  <c r="O28" i="2"/>
  <c r="I28" i="2"/>
  <c r="M27" i="2"/>
  <c r="K26" i="2"/>
  <c r="O25" i="2"/>
  <c r="I25" i="2"/>
  <c r="M24" i="2"/>
  <c r="K23" i="2"/>
  <c r="O22" i="2"/>
  <c r="I22" i="2"/>
  <c r="M21" i="2"/>
  <c r="K20" i="2"/>
  <c r="O19" i="2"/>
  <c r="I19" i="2"/>
  <c r="M18" i="2"/>
  <c r="K17" i="2"/>
  <c r="O16" i="2"/>
  <c r="I16" i="2"/>
  <c r="M15" i="2"/>
  <c r="K14" i="2"/>
  <c r="O13" i="2"/>
  <c r="M12" i="2"/>
  <c r="K11" i="2"/>
  <c r="O10" i="2"/>
  <c r="I10" i="2"/>
  <c r="M9" i="2"/>
  <c r="K8" i="2"/>
  <c r="O7" i="2"/>
  <c r="I7" i="2"/>
  <c r="M6" i="2"/>
  <c r="K5" i="2"/>
  <c r="K42" i="2"/>
  <c r="O41" i="2"/>
  <c r="I41" i="2"/>
  <c r="M40" i="2"/>
  <c r="K39" i="2"/>
  <c r="O38" i="2"/>
  <c r="I38" i="2"/>
  <c r="M37" i="2"/>
  <c r="K36" i="2"/>
  <c r="O35" i="2"/>
  <c r="I35" i="2"/>
  <c r="M34" i="2"/>
  <c r="K33" i="2"/>
  <c r="O32" i="2"/>
  <c r="I32" i="2"/>
  <c r="M31" i="2"/>
  <c r="K30" i="2"/>
  <c r="O29" i="2"/>
  <c r="I29" i="2"/>
  <c r="M28" i="2"/>
  <c r="K27" i="2"/>
  <c r="O26" i="2"/>
  <c r="I26" i="2"/>
  <c r="M25" i="2"/>
  <c r="K24" i="2"/>
  <c r="O23" i="2"/>
  <c r="I23" i="2"/>
  <c r="M22" i="2"/>
  <c r="K21" i="2"/>
  <c r="O20" i="2"/>
  <c r="I20" i="2"/>
  <c r="M19" i="2"/>
  <c r="K18" i="2"/>
  <c r="O17" i="2"/>
  <c r="I17" i="2"/>
  <c r="M16" i="2"/>
  <c r="K15" i="2"/>
  <c r="O14" i="2"/>
  <c r="I14" i="2"/>
  <c r="K12" i="2"/>
  <c r="O11" i="2"/>
  <c r="I11" i="2"/>
  <c r="M10" i="2"/>
  <c r="K9" i="2"/>
  <c r="O8" i="2"/>
  <c r="I8" i="2"/>
  <c r="M7" i="2"/>
  <c r="K6" i="2"/>
  <c r="O5" i="2"/>
  <c r="I5" i="2"/>
  <c r="P42" i="2"/>
  <c r="J42" i="2"/>
  <c r="N41" i="2"/>
  <c r="H41" i="2"/>
  <c r="L40" i="2"/>
  <c r="P39" i="2"/>
  <c r="J39" i="2"/>
  <c r="N38" i="2"/>
  <c r="H38" i="2"/>
  <c r="L37" i="2"/>
  <c r="P36" i="2"/>
  <c r="J36" i="2"/>
  <c r="N35" i="2"/>
  <c r="H35" i="2"/>
  <c r="L34" i="2"/>
  <c r="P33" i="2"/>
  <c r="J33" i="2"/>
  <c r="N32" i="2"/>
  <c r="H32" i="2"/>
  <c r="L31" i="2"/>
  <c r="P30" i="2"/>
  <c r="J30" i="2"/>
  <c r="N29" i="2"/>
  <c r="H29" i="2"/>
  <c r="L28" i="2"/>
  <c r="P27" i="2"/>
  <c r="J27" i="2"/>
  <c r="N26" i="2"/>
  <c r="H26" i="2"/>
  <c r="L25" i="2"/>
  <c r="P24" i="2"/>
  <c r="J24" i="2"/>
  <c r="N23" i="2"/>
  <c r="H23" i="2"/>
  <c r="L22" i="2"/>
  <c r="P21" i="2"/>
  <c r="J21" i="2"/>
  <c r="N20" i="2"/>
  <c r="H20" i="2"/>
  <c r="L19" i="2"/>
  <c r="P18" i="2"/>
  <c r="J18" i="2"/>
  <c r="N17" i="2"/>
  <c r="H17" i="2"/>
  <c r="L16" i="2"/>
  <c r="P15" i="2"/>
  <c r="J15" i="2"/>
  <c r="N14" i="2"/>
  <c r="H14" i="2"/>
  <c r="P12" i="2"/>
  <c r="J12" i="2"/>
  <c r="N11" i="2"/>
  <c r="H11" i="2"/>
  <c r="L10" i="2"/>
  <c r="P9" i="2"/>
  <c r="J9" i="2"/>
  <c r="N8" i="2"/>
  <c r="H8" i="2"/>
  <c r="L7" i="2"/>
  <c r="P6" i="2"/>
  <c r="J6" i="2"/>
  <c r="N5" i="2"/>
  <c r="H5" i="2"/>
  <c r="N4" i="2"/>
  <c r="M4" i="2"/>
  <c r="L4" i="2"/>
  <c r="K4" i="2"/>
  <c r="P4" i="2"/>
  <c r="J4" i="2"/>
  <c r="O4" i="2"/>
  <c r="I4" i="2"/>
  <c r="D4" i="2"/>
  <c r="F3" i="2"/>
  <c r="C5" i="2"/>
  <c r="G4" i="2" a="1"/>
  <c r="F4" i="2" a="1"/>
  <c r="G5" i="2" a="1"/>
  <c r="H4" i="2" a="1"/>
  <c r="F5" i="2" a="1"/>
  <c r="F5" i="2" l="1"/>
  <c r="G5" i="2"/>
  <c r="G4" i="2"/>
  <c r="H4" i="2"/>
  <c r="F4" i="2"/>
  <c r="C6" i="2"/>
  <c r="C131" i="2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F6" i="2" a="1"/>
  <c r="G6" i="2" a="1"/>
  <c r="F6" i="2" l="1"/>
  <c r="G6" i="2"/>
  <c r="C7" i="2"/>
  <c r="G7" i="2" a="1"/>
  <c r="F7" i="2" a="1"/>
  <c r="F7" i="2" l="1"/>
  <c r="G7" i="2"/>
  <c r="C8" i="2"/>
  <c r="G8" i="2" a="1"/>
  <c r="F8" i="2" a="1"/>
  <c r="F8" i="2" l="1"/>
  <c r="G8" i="2"/>
  <c r="C9" i="2"/>
  <c r="G9" i="2" a="1"/>
  <c r="F9" i="2" a="1"/>
  <c r="F9" i="2" l="1"/>
  <c r="G9" i="2"/>
  <c r="C10" i="2"/>
  <c r="G10" i="2" a="1"/>
  <c r="F10" i="2" a="1"/>
  <c r="F10" i="2" l="1"/>
  <c r="G10" i="2"/>
  <c r="C11" i="2"/>
  <c r="G11" i="2" a="1"/>
  <c r="F11" i="2" a="1"/>
  <c r="F11" i="2" l="1"/>
  <c r="G11" i="2"/>
  <c r="C12" i="2"/>
  <c r="F12" i="2" a="1"/>
  <c r="G12" i="2" a="1"/>
  <c r="F12" i="2" l="1"/>
  <c r="G12" i="2"/>
  <c r="C13" i="2"/>
  <c r="G13" i="2" a="1"/>
  <c r="F13" i="2" a="1"/>
  <c r="F13" i="2" l="1"/>
  <c r="G13" i="2"/>
  <c r="C14" i="2"/>
  <c r="F14" i="2" a="1"/>
  <c r="G14" i="2" a="1"/>
  <c r="F14" i="2" l="1"/>
  <c r="G14" i="2"/>
  <c r="C15" i="2"/>
  <c r="G15" i="2" a="1"/>
  <c r="F15" i="2" a="1"/>
  <c r="G15" i="2" l="1"/>
  <c r="F15" i="2"/>
  <c r="C16" i="2"/>
  <c r="G16" i="2" a="1"/>
  <c r="F16" i="2" a="1"/>
  <c r="F16" i="2" l="1"/>
  <c r="G16" i="2"/>
  <c r="C17" i="2"/>
  <c r="F17" i="2" a="1"/>
  <c r="G17" i="2" a="1"/>
  <c r="F17" i="2" l="1"/>
  <c r="G17" i="2"/>
  <c r="C18" i="2"/>
  <c r="G18" i="2" a="1"/>
  <c r="F18" i="2" a="1"/>
  <c r="F18" i="2" l="1"/>
  <c r="G18" i="2"/>
  <c r="C19" i="2"/>
  <c r="F19" i="2" a="1"/>
  <c r="G19" i="2" a="1"/>
  <c r="F19" i="2" l="1"/>
  <c r="G19" i="2"/>
  <c r="C20" i="2"/>
  <c r="G20" i="2" a="1"/>
  <c r="F20" i="2" a="1"/>
  <c r="F20" i="2" l="1"/>
  <c r="G20" i="2"/>
  <c r="C21" i="2"/>
  <c r="G21" i="2" a="1"/>
  <c r="F21" i="2" a="1"/>
  <c r="F21" i="2" l="1"/>
  <c r="G21" i="2"/>
  <c r="C22" i="2"/>
  <c r="G22" i="2" a="1"/>
  <c r="F22" i="2" a="1"/>
  <c r="F22" i="2" l="1"/>
  <c r="G22" i="2"/>
  <c r="C23" i="2"/>
  <c r="G23" i="2" a="1"/>
  <c r="F23" i="2" a="1"/>
  <c r="F23" i="2" l="1"/>
  <c r="G23" i="2"/>
  <c r="C24" i="2"/>
  <c r="F24" i="2" a="1"/>
  <c r="G24" i="2" a="1"/>
  <c r="G24" i="2" l="1"/>
  <c r="F24" i="2"/>
  <c r="C25" i="2"/>
  <c r="C26" i="2" s="1"/>
  <c r="G25" i="2" a="1"/>
  <c r="F25" i="2" a="1"/>
  <c r="G26" i="2" a="1"/>
  <c r="F26" i="2" a="1"/>
  <c r="G26" i="2" l="1"/>
  <c r="F26" i="2"/>
  <c r="C27" i="2"/>
  <c r="F25" i="2"/>
  <c r="G25" i="2"/>
  <c r="F27" i="2" a="1"/>
  <c r="G27" i="2" a="1"/>
  <c r="G27" i="2" l="1"/>
  <c r="F27" i="2"/>
  <c r="C28" i="2"/>
  <c r="F28" i="2" a="1"/>
  <c r="G28" i="2" a="1"/>
  <c r="F28" i="2" l="1"/>
  <c r="G28" i="2"/>
  <c r="C29" i="2"/>
  <c r="G29" i="2" a="1"/>
  <c r="F29" i="2" a="1"/>
  <c r="G29" i="2" l="1"/>
  <c r="F29" i="2"/>
  <c r="C30" i="2"/>
  <c r="G30" i="2" a="1"/>
  <c r="F30" i="2" a="1"/>
  <c r="G30" i="2" l="1"/>
  <c r="F30" i="2"/>
  <c r="C31" i="2"/>
  <c r="G31" i="2" a="1"/>
  <c r="F31" i="2" a="1"/>
  <c r="G31" i="2" l="1"/>
  <c r="F31" i="2"/>
  <c r="C32" i="2"/>
  <c r="F32" i="2" a="1"/>
  <c r="G32" i="2" a="1"/>
  <c r="G32" i="2" l="1"/>
  <c r="F32" i="2"/>
  <c r="C33" i="2"/>
  <c r="C34" i="2" s="1"/>
  <c r="F33" i="2" a="1"/>
  <c r="G33" i="2" a="1"/>
  <c r="F34" i="2" a="1"/>
  <c r="G34" i="2" a="1"/>
  <c r="G34" i="2" l="1"/>
  <c r="F34" i="2"/>
  <c r="C35" i="2"/>
  <c r="G33" i="2"/>
  <c r="F33" i="2"/>
  <c r="F35" i="2" a="1"/>
  <c r="G35" i="2" a="1"/>
  <c r="G35" i="2" l="1"/>
  <c r="F35" i="2"/>
  <c r="C36" i="2"/>
  <c r="C37" i="2" s="1"/>
  <c r="G36" i="2" a="1"/>
  <c r="F36" i="2" a="1"/>
  <c r="G37" i="2" a="1"/>
  <c r="F37" i="2" a="1"/>
  <c r="F37" i="2" l="1"/>
  <c r="G37" i="2"/>
  <c r="C38" i="2"/>
  <c r="G36" i="2"/>
  <c r="F36" i="2"/>
  <c r="F38" i="2" a="1"/>
  <c r="G38" i="2" a="1"/>
  <c r="G38" i="2" l="1"/>
  <c r="F38" i="2"/>
  <c r="C39" i="2"/>
  <c r="F39" i="2" a="1"/>
  <c r="G39" i="2" a="1"/>
  <c r="G39" i="2" l="1"/>
  <c r="F39" i="2"/>
  <c r="C40" i="2"/>
  <c r="F40" i="2" a="1"/>
  <c r="G40" i="2" a="1"/>
  <c r="G40" i="2" l="1"/>
  <c r="F40" i="2"/>
  <c r="C41" i="2"/>
  <c r="F41" i="2" a="1"/>
  <c r="G41" i="2" a="1"/>
  <c r="G41" i="2" l="1"/>
  <c r="F41" i="2"/>
  <c r="C42" i="2"/>
  <c r="F42" i="2" a="1"/>
  <c r="G42" i="2" a="1"/>
  <c r="F42" i="2" l="1"/>
  <c r="G42" i="2"/>
  <c r="C43" i="2"/>
  <c r="F43" i="2" a="1"/>
  <c r="G43" i="2" a="1"/>
  <c r="G43" i="2" l="1"/>
  <c r="F43" i="2"/>
  <c r="C44" i="2"/>
  <c r="O44" i="2" a="1"/>
  <c r="H44" i="2" a="1"/>
  <c r="K44" i="2" a="1"/>
  <c r="F44" i="2" a="1"/>
  <c r="G44" i="2" a="1"/>
  <c r="L44" i="2" a="1"/>
  <c r="P44" i="2" a="1"/>
  <c r="M44" i="2" a="1"/>
  <c r="Q44" i="2" a="1"/>
  <c r="J44" i="2" a="1"/>
  <c r="L44" i="2" l="1"/>
  <c r="K44" i="2"/>
  <c r="J44" i="2"/>
  <c r="H44" i="2"/>
  <c r="G44" i="2"/>
  <c r="Q44" i="2"/>
  <c r="P44" i="2"/>
  <c r="F44" i="2"/>
  <c r="O44" i="2"/>
  <c r="M44" i="2"/>
  <c r="C45" i="2"/>
  <c r="L45" i="2" a="1"/>
  <c r="O45" i="2" a="1"/>
  <c r="Q45" i="2" a="1"/>
  <c r="K45" i="2" a="1"/>
  <c r="F45" i="2" a="1"/>
  <c r="M45" i="2" a="1"/>
  <c r="H45" i="2" a="1"/>
  <c r="J45" i="2" a="1"/>
  <c r="G45" i="2" a="1"/>
  <c r="P45" i="2" a="1"/>
  <c r="J45" i="2" l="1"/>
  <c r="Q45" i="2"/>
  <c r="P45" i="2"/>
  <c r="H45" i="2"/>
  <c r="G45" i="2"/>
  <c r="O45" i="2"/>
  <c r="M45" i="2"/>
  <c r="F45" i="2"/>
  <c r="L45" i="2"/>
  <c r="K45" i="2"/>
  <c r="C46" i="2"/>
  <c r="P46" i="2" a="1"/>
  <c r="K46" i="2" a="1"/>
  <c r="M46" i="2" a="1"/>
  <c r="L46" i="2" a="1"/>
  <c r="H46" i="2" a="1"/>
  <c r="J46" i="2" a="1"/>
  <c r="O46" i="2" a="1"/>
  <c r="Q46" i="2" a="1"/>
  <c r="F46" i="2" a="1"/>
  <c r="G46" i="2" a="1"/>
  <c r="L46" i="2" l="1"/>
  <c r="F46" i="2"/>
  <c r="O46" i="2"/>
  <c r="M46" i="2"/>
  <c r="K46" i="2"/>
  <c r="J46" i="2"/>
  <c r="Q46" i="2"/>
  <c r="H46" i="2"/>
  <c r="P46" i="2"/>
  <c r="G46" i="2"/>
  <c r="C47" i="2"/>
  <c r="M47" i="2" a="1"/>
  <c r="H47" i="2" a="1"/>
  <c r="F47" i="2" a="1"/>
  <c r="J47" i="2" a="1"/>
  <c r="P47" i="2" a="1"/>
  <c r="Q47" i="2" a="1"/>
  <c r="L47" i="2" a="1"/>
  <c r="O47" i="2" a="1"/>
  <c r="K47" i="2" a="1"/>
  <c r="G47" i="2" a="1"/>
  <c r="J47" i="2" l="1"/>
  <c r="K47" i="2"/>
  <c r="G47" i="2"/>
  <c r="Q47" i="2"/>
  <c r="F47" i="2"/>
  <c r="O47" i="2"/>
  <c r="H47" i="2"/>
  <c r="P47" i="2"/>
  <c r="M47" i="2"/>
  <c r="L47" i="2"/>
  <c r="C48" i="2"/>
  <c r="J48" i="2" l="1" a="1"/>
  <c r="J48" i="2" s="1"/>
  <c r="H48" i="2" a="1"/>
  <c r="H48" i="2" s="1"/>
  <c r="G48" i="2" a="1"/>
  <c r="G48" i="2" s="1"/>
  <c r="M48" i="2" a="1"/>
  <c r="M48" i="2" s="1"/>
  <c r="Q48" i="2" a="1"/>
  <c r="Q48" i="2" s="1"/>
  <c r="L48" i="2" a="1"/>
  <c r="L48" i="2" s="1"/>
  <c r="C49" i="2"/>
  <c r="O48" i="2" a="1"/>
  <c r="O48" i="2" s="1"/>
  <c r="P48" i="2" a="1"/>
  <c r="P48" i="2" s="1"/>
  <c r="F48" i="2" a="1"/>
  <c r="F48" i="2" s="1"/>
  <c r="K48" i="2" a="1"/>
  <c r="K48" i="2" s="1"/>
  <c r="O49" i="2" l="1" a="1"/>
  <c r="O49" i="2" s="1"/>
  <c r="H49" i="2" a="1"/>
  <c r="H49" i="2" s="1"/>
  <c r="Q49" i="2" a="1"/>
  <c r="Q49" i="2" s="1"/>
  <c r="P49" i="2" a="1"/>
  <c r="P49" i="2" s="1"/>
  <c r="M49" i="2" a="1"/>
  <c r="M49" i="2" s="1"/>
  <c r="K49" i="2" a="1"/>
  <c r="K49" i="2" s="1"/>
  <c r="G49" i="2" a="1"/>
  <c r="G49" i="2" s="1"/>
  <c r="C50" i="2"/>
  <c r="J49" i="2" a="1"/>
  <c r="J49" i="2" s="1"/>
  <c r="F49" i="2" a="1"/>
  <c r="F49" i="2" s="1"/>
  <c r="L49" i="2" a="1"/>
  <c r="L49" i="2" s="1"/>
  <c r="J50" i="2" l="1" a="1"/>
  <c r="J50" i="2" s="1"/>
  <c r="M50" i="2" a="1"/>
  <c r="M50" i="2" s="1"/>
  <c r="L50" i="2" a="1"/>
  <c r="L50" i="2" s="1"/>
  <c r="Q50" i="2" a="1"/>
  <c r="Q50" i="2" s="1"/>
  <c r="G50" i="2" a="1"/>
  <c r="G50" i="2" s="1"/>
  <c r="O50" i="2" a="1"/>
  <c r="O50" i="2" s="1"/>
  <c r="P50" i="2" a="1"/>
  <c r="P50" i="2" s="1"/>
  <c r="C51" i="2"/>
  <c r="K50" i="2" a="1"/>
  <c r="K50" i="2" s="1"/>
  <c r="F50" i="2" a="1"/>
  <c r="F50" i="2" s="1"/>
  <c r="H50" i="2" a="1"/>
  <c r="H50" i="2" s="1"/>
  <c r="K51" i="2" l="1" a="1"/>
  <c r="K51" i="2" s="1"/>
  <c r="L51" i="2" a="1"/>
  <c r="L51" i="2" s="1"/>
  <c r="J51" i="2" a="1"/>
  <c r="J51" i="2" s="1"/>
  <c r="P51" i="2" a="1"/>
  <c r="P51" i="2" s="1"/>
  <c r="F51" i="2" a="1"/>
  <c r="F51" i="2" s="1"/>
  <c r="G51" i="2" a="1"/>
  <c r="G51" i="2" s="1"/>
  <c r="M51" i="2" a="1"/>
  <c r="M51" i="2" s="1"/>
  <c r="O51" i="2" a="1"/>
  <c r="O51" i="2" s="1"/>
  <c r="C52" i="2"/>
  <c r="Q51" i="2" a="1"/>
  <c r="Q51" i="2" s="1"/>
  <c r="H51" i="2" a="1"/>
  <c r="H51" i="2" s="1"/>
  <c r="O52" i="2" l="1" a="1"/>
  <c r="O52" i="2" s="1"/>
  <c r="L52" i="2" a="1"/>
  <c r="L52" i="2" s="1"/>
  <c r="G52" i="2" a="1"/>
  <c r="G52" i="2" s="1"/>
  <c r="F52" i="2" a="1"/>
  <c r="F52" i="2" s="1"/>
  <c r="P52" i="2" a="1"/>
  <c r="P52" i="2" s="1"/>
  <c r="H52" i="2" a="1"/>
  <c r="H52" i="2" s="1"/>
  <c r="J52" i="2" a="1"/>
  <c r="J52" i="2" s="1"/>
  <c r="M52" i="2" a="1"/>
  <c r="M52" i="2" s="1"/>
  <c r="Q52" i="2" a="1"/>
  <c r="Q52" i="2" s="1"/>
  <c r="K52" i="2" a="1"/>
  <c r="K52" i="2" s="1"/>
  <c r="C53" i="2"/>
  <c r="H53" i="2" l="1" a="1"/>
  <c r="H53" i="2" s="1"/>
  <c r="Q53" i="2" a="1"/>
  <c r="Q53" i="2" s="1"/>
  <c r="L53" i="2" a="1"/>
  <c r="L53" i="2" s="1"/>
  <c r="P53" i="2" a="1"/>
  <c r="P53" i="2" s="1"/>
  <c r="F53" i="2" a="1"/>
  <c r="F53" i="2" s="1"/>
  <c r="C54" i="2"/>
  <c r="G53" i="2" a="1"/>
  <c r="G53" i="2" s="1"/>
  <c r="M53" i="2" a="1"/>
  <c r="M53" i="2" s="1"/>
  <c r="K53" i="2" a="1"/>
  <c r="K53" i="2" s="1"/>
  <c r="J53" i="2" a="1"/>
  <c r="J53" i="2" s="1"/>
  <c r="O53" i="2" a="1"/>
  <c r="O53" i="2" s="1"/>
  <c r="K54" i="2" l="1" a="1"/>
  <c r="K54" i="2" s="1"/>
  <c r="Q54" i="2" a="1"/>
  <c r="Q54" i="2" s="1"/>
  <c r="G54" i="2" a="1"/>
  <c r="G54" i="2" s="1"/>
  <c r="J54" i="2" a="1"/>
  <c r="J54" i="2" s="1"/>
  <c r="O54" i="2" a="1"/>
  <c r="O54" i="2" s="1"/>
  <c r="M54" i="2" a="1"/>
  <c r="M54" i="2" s="1"/>
  <c r="C55" i="2"/>
  <c r="H54" i="2" a="1"/>
  <c r="H54" i="2" s="1"/>
  <c r="L54" i="2" a="1"/>
  <c r="L54" i="2" s="1"/>
  <c r="P54" i="2" a="1"/>
  <c r="P54" i="2" s="1"/>
  <c r="F54" i="2" a="1"/>
  <c r="F54" i="2" s="1"/>
  <c r="G55" i="2" l="1" a="1"/>
  <c r="G55" i="2" s="1"/>
  <c r="L55" i="2" a="1"/>
  <c r="L55" i="2" s="1"/>
  <c r="O55" i="2" a="1"/>
  <c r="O55" i="2" s="1"/>
  <c r="C56" i="2"/>
  <c r="M55" i="2" a="1"/>
  <c r="M55" i="2" s="1"/>
  <c r="K55" i="2" a="1"/>
  <c r="K55" i="2" s="1"/>
  <c r="H55" i="2" a="1"/>
  <c r="H55" i="2" s="1"/>
  <c r="Q55" i="2" a="1"/>
  <c r="Q55" i="2" s="1"/>
  <c r="J55" i="2" a="1"/>
  <c r="J55" i="2" s="1"/>
  <c r="F55" i="2" a="1"/>
  <c r="F55" i="2" s="1"/>
  <c r="P55" i="2" a="1"/>
  <c r="P55" i="2" s="1"/>
  <c r="K56" i="2" l="1" a="1"/>
  <c r="K56" i="2" s="1"/>
  <c r="L56" i="2" a="1"/>
  <c r="L56" i="2" s="1"/>
  <c r="G56" i="2" a="1"/>
  <c r="G56" i="2" s="1"/>
  <c r="M56" i="2" a="1"/>
  <c r="M56" i="2" s="1"/>
  <c r="O56" i="2" a="1"/>
  <c r="O56" i="2" s="1"/>
  <c r="P56" i="2" a="1"/>
  <c r="P56" i="2" s="1"/>
  <c r="J56" i="2" a="1"/>
  <c r="J56" i="2" s="1"/>
  <c r="C57" i="2"/>
  <c r="Q56" i="2" a="1"/>
  <c r="Q56" i="2" s="1"/>
  <c r="H56" i="2" a="1"/>
  <c r="H56" i="2" s="1"/>
  <c r="F56" i="2" a="1"/>
  <c r="F56" i="2" s="1"/>
  <c r="L57" i="2" l="1" a="1"/>
  <c r="L57" i="2" s="1"/>
  <c r="K57" i="2" a="1"/>
  <c r="K57" i="2" s="1"/>
  <c r="H57" i="2" a="1"/>
  <c r="H57" i="2" s="1"/>
  <c r="F57" i="2" a="1"/>
  <c r="F57" i="2" s="1"/>
  <c r="O57" i="2" a="1"/>
  <c r="O57" i="2" s="1"/>
  <c r="Q57" i="2" a="1"/>
  <c r="Q57" i="2" s="1"/>
  <c r="M57" i="2" a="1"/>
  <c r="M57" i="2" s="1"/>
  <c r="C58" i="2"/>
  <c r="J57" i="2" a="1"/>
  <c r="J57" i="2" s="1"/>
  <c r="P57" i="2" a="1"/>
  <c r="P57" i="2" s="1"/>
  <c r="G57" i="2" a="1"/>
  <c r="G57" i="2" s="1"/>
  <c r="H58" i="2" l="1" a="1"/>
  <c r="H58" i="2" s="1"/>
  <c r="L58" i="2" a="1"/>
  <c r="L58" i="2" s="1"/>
  <c r="K58" i="2" a="1"/>
  <c r="K58" i="2" s="1"/>
  <c r="P58" i="2" a="1"/>
  <c r="P58" i="2" s="1"/>
  <c r="O58" i="2" a="1"/>
  <c r="O58" i="2" s="1"/>
  <c r="F58" i="2" a="1"/>
  <c r="F58" i="2" s="1"/>
  <c r="C59" i="2"/>
  <c r="Q58" i="2" a="1"/>
  <c r="Q58" i="2" s="1"/>
  <c r="J58" i="2" a="1"/>
  <c r="J58" i="2" s="1"/>
  <c r="M58" i="2" a="1"/>
  <c r="M58" i="2" s="1"/>
  <c r="G58" i="2" a="1"/>
  <c r="G58" i="2" s="1"/>
  <c r="P59" i="2" l="1" a="1"/>
  <c r="P59" i="2" s="1"/>
  <c r="H59" i="2" a="1"/>
  <c r="H59" i="2" s="1"/>
  <c r="K59" i="2" a="1"/>
  <c r="K59" i="2" s="1"/>
  <c r="F59" i="2" a="1"/>
  <c r="F59" i="2" s="1"/>
  <c r="O59" i="2" a="1"/>
  <c r="O59" i="2" s="1"/>
  <c r="G59" i="2" a="1"/>
  <c r="G59" i="2" s="1"/>
  <c r="Q59" i="2" a="1"/>
  <c r="Q59" i="2" s="1"/>
  <c r="M59" i="2" a="1"/>
  <c r="M59" i="2" s="1"/>
  <c r="L59" i="2" a="1"/>
  <c r="L59" i="2" s="1"/>
  <c r="C60" i="2"/>
  <c r="J59" i="2" a="1"/>
  <c r="J59" i="2" s="1"/>
  <c r="G60" i="2" l="1" a="1"/>
  <c r="G60" i="2" s="1"/>
  <c r="P60" i="2" a="1"/>
  <c r="P60" i="2" s="1"/>
  <c r="J60" i="2" a="1"/>
  <c r="J60" i="2" s="1"/>
  <c r="H60" i="2" a="1"/>
  <c r="H60" i="2" s="1"/>
  <c r="L60" i="2" a="1"/>
  <c r="L60" i="2" s="1"/>
  <c r="O60" i="2" a="1"/>
  <c r="O60" i="2" s="1"/>
  <c r="C61" i="2"/>
  <c r="M60" i="2" a="1"/>
  <c r="M60" i="2" s="1"/>
  <c r="F60" i="2" a="1"/>
  <c r="F60" i="2" s="1"/>
  <c r="Q60" i="2" a="1"/>
  <c r="Q60" i="2" s="1"/>
  <c r="K60" i="2" a="1"/>
  <c r="K60" i="2" s="1"/>
  <c r="L61" i="2" l="1" a="1"/>
  <c r="L61" i="2" s="1"/>
  <c r="H61" i="2" a="1"/>
  <c r="H61" i="2" s="1"/>
  <c r="G61" i="2" a="1"/>
  <c r="G61" i="2" s="1"/>
  <c r="Q61" i="2" a="1"/>
  <c r="Q61" i="2" s="1"/>
  <c r="J61" i="2" a="1"/>
  <c r="J61" i="2" s="1"/>
  <c r="O61" i="2" a="1"/>
  <c r="O61" i="2" s="1"/>
  <c r="F61" i="2" a="1"/>
  <c r="F61" i="2" s="1"/>
  <c r="K61" i="2" a="1"/>
  <c r="K61" i="2" s="1"/>
  <c r="M61" i="2" a="1"/>
  <c r="M61" i="2" s="1"/>
  <c r="P61" i="2" a="1"/>
  <c r="P61" i="2" s="1"/>
  <c r="C62" i="2"/>
  <c r="M62" i="2" l="1" a="1"/>
  <c r="M62" i="2" s="1"/>
  <c r="G62" i="2" a="1"/>
  <c r="G62" i="2" s="1"/>
  <c r="P62" i="2" a="1"/>
  <c r="P62" i="2" s="1"/>
  <c r="L62" i="2" a="1"/>
  <c r="L62" i="2" s="1"/>
  <c r="J62" i="2" a="1"/>
  <c r="J62" i="2" s="1"/>
  <c r="K62" i="2" a="1"/>
  <c r="K62" i="2" s="1"/>
  <c r="H62" i="2" a="1"/>
  <c r="H62" i="2" s="1"/>
  <c r="O62" i="2" a="1"/>
  <c r="O62" i="2" s="1"/>
  <c r="F62" i="2" a="1"/>
  <c r="F62" i="2" s="1"/>
  <c r="C63" i="2"/>
  <c r="Q62" i="2" a="1"/>
  <c r="Q62" i="2" s="1"/>
  <c r="L63" i="2" l="1" a="1"/>
  <c r="L63" i="2" s="1"/>
  <c r="H63" i="2" a="1"/>
  <c r="H63" i="2" s="1"/>
  <c r="M63" i="2" a="1"/>
  <c r="M63" i="2" s="1"/>
  <c r="G63" i="2" a="1"/>
  <c r="G63" i="2" s="1"/>
  <c r="P63" i="2" a="1"/>
  <c r="P63" i="2" s="1"/>
  <c r="K63" i="2" a="1"/>
  <c r="K63" i="2" s="1"/>
  <c r="F63" i="2" a="1"/>
  <c r="F63" i="2" s="1"/>
  <c r="Q63" i="2" a="1"/>
  <c r="Q63" i="2" s="1"/>
  <c r="O63" i="2" a="1"/>
  <c r="O63" i="2" s="1"/>
  <c r="J63" i="2" a="1"/>
  <c r="J6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01116E-92C5-4A5A-A129-81CA0CFB0003}" keepAlive="1" name="查詢 - result" description="與活頁簿中 'result' 查詢的連接。" type="5" refreshedVersion="8" background="1" saveData="1">
    <dbPr connection="Provider=Microsoft.Mashup.OleDb.1;Data Source=$Workbook$;Location=result;Extended Properties=&quot;&quot;" command="SELECT * FROM [result]"/>
  </connection>
  <connection id="2" xr16:uid="{3742D073-18BA-4DE0-80C5-024580173E1D}" keepAlive="1" name="查詢 - result (2)" description="與活頁簿中 'result (2)' 查詢的連接。" type="5" refreshedVersion="0" background="1">
    <dbPr connection="Provider=Microsoft.Mashup.OleDb.1;Data Source=$Workbook$;Location=&quot;result (2)&quot;;Extended Properties=&quot;&quot;" command="SELECT * FROM [result (2)]"/>
  </connection>
  <connection id="3" xr16:uid="{437F3D6E-DB3A-4EAA-9663-FE67F117CE88}" keepAlive="1" name="查詢 - result (3)" description="與活頁簿中 'result (3)' 查詢的連接。" type="5" refreshedVersion="8" background="1" saveData="1">
    <dbPr connection="Provider=Microsoft.Mashup.OleDb.1;Data Source=$Workbook$;Location=&quot;result (3)&quot;;Extended Properties=&quot;&quot;" command="SELECT * FROM [result (3)]"/>
  </connection>
  <connection id="4" xr16:uid="{A34485E7-D74E-45CB-99F5-5171DA7CDA51}" keepAlive="1" name="查詢 - Result01" description="與活頁簿中 'Result01' 查詢的連接。" type="5" refreshedVersion="8" background="1" saveData="1">
    <dbPr connection="Provider=Microsoft.Mashup.OleDb.1;Data Source=$Workbook$;Location=Result01;Extended Properties=&quot;&quot;" command="SELECT * FROM [Result01]"/>
  </connection>
  <connection id="5" xr16:uid="{B1731669-34AB-4E85-9423-A1263DA18C48}" keepAlive="1" name="查詢 - Result02" description="與活頁簿中 'Result02' 查詢的連接。" type="5" refreshedVersion="8" background="1" saveData="1">
    <dbPr connection="Provider=Microsoft.Mashup.OleDb.1;Data Source=$Workbook$;Location=Result02;Extended Properties=&quot;&quot;" command="SELECT * FROM [Result0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<sst xmlns="http://schemas.openxmlformats.org/spreadsheetml/2006/main" count="522" uniqueCount="123">
  <si>
    <t>ML</t>
    <phoneticPr fontId="1" type="noConversion"/>
  </si>
  <si>
    <t>Feature Selection</t>
    <phoneticPr fontId="1" type="noConversion"/>
  </si>
  <si>
    <t>LDA</t>
    <phoneticPr fontId="1" type="noConversion"/>
  </si>
  <si>
    <t>QDA</t>
    <phoneticPr fontId="1" type="noConversion"/>
  </si>
  <si>
    <t>XGBoost</t>
    <phoneticPr fontId="1" type="noConversion"/>
  </si>
  <si>
    <t>Feature_Selection</t>
  </si>
  <si>
    <t>Model</t>
  </si>
  <si>
    <t>train_auc</t>
  </si>
  <si>
    <t>train_pr_auc</t>
  </si>
  <si>
    <t>train_precision</t>
  </si>
  <si>
    <t>train_recall</t>
  </si>
  <si>
    <t>train_f1</t>
  </si>
  <si>
    <t>test_auc</t>
  </si>
  <si>
    <t>test_pr_auc</t>
  </si>
  <si>
    <t>test_precision</t>
  </si>
  <si>
    <t>test_recall</t>
  </si>
  <si>
    <t>test_f1</t>
  </si>
  <si>
    <t>Full_Set_Baseline</t>
  </si>
  <si>
    <t>LDA</t>
  </si>
  <si>
    <t>LogisticRegression</t>
  </si>
  <si>
    <t>QDA</t>
  </si>
  <si>
    <t>XGBoost</t>
  </si>
  <si>
    <t>Lasso (a=0.001)</t>
  </si>
  <si>
    <t>Lasso (a=0.01)</t>
  </si>
  <si>
    <t>Lasso (a=1)</t>
  </si>
  <si>
    <t>Lasso (a=10)</t>
  </si>
  <si>
    <t>Lasso (a=100)</t>
  </si>
  <si>
    <t>Lasso (a=1000)</t>
  </si>
  <si>
    <t>Ridge (a=0.001)</t>
  </si>
  <si>
    <t>Ridge (a=0.01)</t>
  </si>
  <si>
    <t>Ridge (a=1)</t>
  </si>
  <si>
    <t>Ridge (a=10)</t>
  </si>
  <si>
    <t>Ridge (a=100)</t>
  </si>
  <si>
    <t>Ridge (a=1000)</t>
  </si>
  <si>
    <t>Union_Combined</t>
  </si>
  <si>
    <t>XGBoost_TopK</t>
  </si>
  <si>
    <t>Lasso (a=0.001)</t>
    <phoneticPr fontId="1" type="noConversion"/>
  </si>
  <si>
    <t>Full_Set_Baseline</t>
    <phoneticPr fontId="1" type="noConversion"/>
  </si>
  <si>
    <t>XGBoost_TopK</t>
    <phoneticPr fontId="1" type="noConversion"/>
  </si>
  <si>
    <t>Union_Combined</t>
    <phoneticPr fontId="1" type="noConversion"/>
  </si>
  <si>
    <t>LogisticRegression</t>
    <phoneticPr fontId="1" type="noConversion"/>
  </si>
  <si>
    <t>Ridge (a=1e4)</t>
  </si>
  <si>
    <t>Ridge (a=1e5)</t>
  </si>
  <si>
    <t>Lasso (a=1e-5)</t>
  </si>
  <si>
    <t>Lasso (a=1e-3)</t>
  </si>
  <si>
    <t>Ridge (a=1e6)</t>
  </si>
  <si>
    <t>Ridge (a=1e2)</t>
  </si>
  <si>
    <t>Ridge (a=1e3)</t>
  </si>
  <si>
    <t>Lasso (a=1e-6)</t>
  </si>
  <si>
    <t>Lasso (a=1e-4)</t>
  </si>
  <si>
    <t>XGBoost_Top10</t>
  </si>
  <si>
    <t xml:space="preserve"> </t>
    <phoneticPr fontId="1" type="noConversion"/>
  </si>
  <si>
    <t>train_accuracy</t>
  </si>
  <si>
    <t>train_accuracy</t>
    <phoneticPr fontId="1" type="noConversion"/>
  </si>
  <si>
    <t>test_accuracy</t>
  </si>
  <si>
    <t>test_accuracy</t>
    <phoneticPr fontId="1" type="noConversion"/>
  </si>
  <si>
    <t>0.9380</t>
  </si>
  <si>
    <t>0.7426</t>
  </si>
  <si>
    <t>0.9363</t>
  </si>
  <si>
    <t>0.7349</t>
  </si>
  <si>
    <t>0.8963</t>
  </si>
  <si>
    <t>0.6320</t>
  </si>
  <si>
    <t>0.8987</t>
  </si>
  <si>
    <t>0.3944</t>
  </si>
  <si>
    <t>0.8820</t>
  </si>
  <si>
    <t>0.3687</t>
  </si>
  <si>
    <t>0.8914</t>
  </si>
  <si>
    <t>0.3414</t>
  </si>
  <si>
    <t>0.8704</t>
  </si>
  <si>
    <t>0.3204</t>
  </si>
  <si>
    <t>0.8597</t>
  </si>
  <si>
    <t>0.3043</t>
  </si>
  <si>
    <t>0.9286</t>
  </si>
  <si>
    <t>0.2481</t>
  </si>
  <si>
    <t>0.8666</t>
  </si>
  <si>
    <t>0.0270</t>
  </si>
  <si>
    <t>0.8674</t>
  </si>
  <si>
    <t>0.0267</t>
  </si>
  <si>
    <t>0.8685</t>
  </si>
  <si>
    <t>0.0268</t>
  </si>
  <si>
    <t>0.8683</t>
  </si>
  <si>
    <t>0.8553</t>
  </si>
  <si>
    <t>0.0232</t>
  </si>
  <si>
    <t>0.8706</t>
  </si>
  <si>
    <t>0.0247</t>
  </si>
  <si>
    <t>0.8702</t>
  </si>
  <si>
    <t>0.0244</t>
  </si>
  <si>
    <t>0.9106</t>
  </si>
  <si>
    <t>0.0209</t>
  </si>
  <si>
    <t>0.9231</t>
  </si>
  <si>
    <t>0.8945</t>
  </si>
  <si>
    <t>0.0201</t>
  </si>
  <si>
    <t>0.9039</t>
  </si>
  <si>
    <t>0.0241</t>
  </si>
  <si>
    <t>0.9157</t>
  </si>
  <si>
    <t>0.8946</t>
  </si>
  <si>
    <t>0.0206</t>
  </si>
  <si>
    <t>0.9075</t>
  </si>
  <si>
    <t>0.0237</t>
  </si>
  <si>
    <t>0.9092</t>
  </si>
  <si>
    <t>0.0250</t>
  </si>
  <si>
    <t>nan</t>
  </si>
  <si>
    <t>0.8870</t>
  </si>
  <si>
    <t>0.0168</t>
  </si>
  <si>
    <t>0.8698</t>
  </si>
  <si>
    <t>0.0138</t>
  </si>
  <si>
    <t>0.8891</t>
  </si>
  <si>
    <t>0.0167</t>
  </si>
  <si>
    <t>0.8736</t>
  </si>
  <si>
    <t>0.0132</t>
  </si>
  <si>
    <t>0.8650</t>
  </si>
  <si>
    <t>0.8682</t>
  </si>
  <si>
    <t>0.0129</t>
  </si>
  <si>
    <t>0.8694</t>
  </si>
  <si>
    <t>0.8893</t>
  </si>
  <si>
    <t>0.0183</t>
  </si>
  <si>
    <t>0.8897</t>
  </si>
  <si>
    <t>0.0179</t>
  </si>
  <si>
    <t>0.8767</t>
  </si>
  <si>
    <t>0.0164</t>
  </si>
  <si>
    <t>0.8763</t>
  </si>
  <si>
    <t>0.0081</t>
  </si>
  <si>
    <t>Result02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</si>
</sst>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9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NumberFormat="1">
      <alignment vertical="center"/>
    </xf>
    <xf numFmtId="0" fontId="4" fillId="0" borderId="27" xfId="0" applyFont="1" applyBorder="1" applyAlignment="1">
      <alignment horizontal="center" vertical="center"/>
    </xf>
  </cellXfs>
  <cellStyles count="1">
    <cellStyle name="一般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5" xr16:uid="{14C93CBE-16D0-4F15-AA23-7C2DE7CCFD5E}" autoFormatId="16" applyNumberFormats="0" applyBorderFormats="0" applyFontFormats="0" applyPatternFormats="0" applyAlignmentFormats="0" applyWidthHeightFormats="0">
  <queryTableRefresh nextId="15">
    <queryTableFields count="14">
      <queryTableField id="1" name="Feature_Selection" tableColumnId="1"/>
      <queryTableField id="2" name="Model" tableColumnId="2"/>
      <queryTableField id="3" name="train_auc" tableColumnId="3"/>
      <queryTableField id="4" name="train_pr_auc" tableColumnId="4"/>
      <queryTableField id="5" name="train_precision" tableColumnId="5"/>
      <queryTableField id="6" name="train_recall" tableColumnId="6"/>
      <queryTableField id="7" name="train_f1" tableColumnId="7"/>
      <queryTableField id="8" name="train_accuracy" tableColumnId="8"/>
      <queryTableField id="9" name="test_auc" tableColumnId="9"/>
      <queryTableField id="10" name="test_pr_auc" tableColumnId="10"/>
      <queryTableField id="11" name="test_precision" tableColumnId="11"/>
      <queryTableField id="12" name="test_recall" tableColumnId="12"/>
      <queryTableField id="13" name="test_f1" tableColumnId="13"/>
      <queryTableField id="14" name="test_accurac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95B27817-95F1-4BB0-8EE0-DAC93519148A}" autoFormatId="16" applyNumberFormats="0" applyBorderFormats="0" applyFontFormats="0" applyPatternFormats="0" applyAlignmentFormats="0" applyWidthHeightFormats="0">
  <queryTableRefresh nextId="13">
    <queryTableFields count="12">
      <queryTableField id="1" name="Feature_Selection" tableColumnId="1"/>
      <queryTableField id="2" name="Model" tableColumnId="2"/>
      <queryTableField id="3" name="train_auc" tableColumnId="3"/>
      <queryTableField id="4" name="train_pr_auc" tableColumnId="4"/>
      <queryTableField id="5" name="train_precision" tableColumnId="5"/>
      <queryTableField id="6" name="train_recall" tableColumnId="6"/>
      <queryTableField id="7" name="train_f1" tableColumnId="7"/>
      <queryTableField id="8" name="test_auc" tableColumnId="8"/>
      <queryTableField id="9" name="test_pr_auc" tableColumnId="9"/>
      <queryTableField id="10" name="test_precision" tableColumnId="10"/>
      <queryTableField id="11" name="test_recall" tableColumnId="11"/>
      <queryTableField id="12" name="test_f1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3" xr16:uid="{2D5238F4-059A-4743-8A14-F40CF139F596}" autoFormatId="16" applyNumberFormats="0" applyBorderFormats="0" applyFontFormats="0" applyPatternFormats="0" applyAlignmentFormats="0" applyWidthHeightFormats="0">
  <queryTableRefresh nextId="13">
    <queryTableFields count="12">
      <queryTableField id="1" name="Feature_Selection" tableColumnId="1"/>
      <queryTableField id="2" name="Model" tableColumnId="2"/>
      <queryTableField id="3" name="train_auc" tableColumnId="3"/>
      <queryTableField id="4" name="train_pr_auc" tableColumnId="4"/>
      <queryTableField id="5" name="train_precision" tableColumnId="5"/>
      <queryTableField id="6" name="train_recall" tableColumnId="6"/>
      <queryTableField id="7" name="train_f1" tableColumnId="7"/>
      <queryTableField id="8" name="test_auc" tableColumnId="8"/>
      <queryTableField id="9" name="test_pr_auc" tableColumnId="9"/>
      <queryTableField id="10" name="test_precision" tableColumnId="10"/>
      <queryTableField id="11" name="test_recall" tableColumnId="11"/>
      <queryTableField id="12" name="test_f1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5A9EE29-CF44-4466-BCE7-E3813C982E0A}" autoFormatId="16" applyNumberFormats="0" applyBorderFormats="0" applyFontFormats="0" applyPatternFormats="0" applyAlignmentFormats="0" applyWidthHeightFormats="0">
  <queryTableRefresh nextId="13">
    <queryTableFields count="12">
      <queryTableField id="1" name="Feature_Selection" tableColumnId="1"/>
      <queryTableField id="2" name="Model" tableColumnId="2"/>
      <queryTableField id="3" name="train_auc" tableColumnId="3"/>
      <queryTableField id="4" name="train_pr_auc" tableColumnId="4"/>
      <queryTableField id="5" name="train_precision" tableColumnId="5"/>
      <queryTableField id="6" name="train_recall" tableColumnId="6"/>
      <queryTableField id="7" name="train_f1" tableColumnId="7"/>
      <queryTableField id="8" name="test_auc" tableColumnId="8"/>
      <queryTableField id="9" name="test_pr_auc" tableColumnId="9"/>
      <queryTableField id="10" name="test_precision" tableColumnId="10"/>
      <queryTableField id="11" name="test_recall" tableColumnId="11"/>
      <queryTableField id="12" name="test_f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E520B0-269D-4364-B3DB-2E5E72F38EB7}" name="Result02" displayName="Result02" ref="A1:N40" tableType="queryTable" totalsRowShown="0">
  <autoFilter ref="A1:N40" xr:uid="{1CE520B0-269D-4364-B3DB-2E5E72F38EB7}"/>
  <tableColumns count="14">
    <tableColumn id="1" xr3:uid="{5C9102E8-6B2E-48E4-B386-A1B15AB9857A}" uniqueName="1" name="Feature_Selection" queryTableFieldId="1" dataDxfId="3"/>
    <tableColumn id="2" xr3:uid="{1F5B309A-CC26-45CB-86BA-B1F5FC6EEDF5}" uniqueName="2" name="Model" queryTableFieldId="2" dataDxfId="2"/>
    <tableColumn id="3" xr3:uid="{FA2A9AB9-5F65-4C9D-BB00-8D3FFA3CDD06}" uniqueName="3" name="train_auc" queryTableFieldId="3" dataDxfId="1"/>
    <tableColumn id="4" xr3:uid="{9C17A672-4F28-407C-AB28-917958EC1E29}" uniqueName="4" name="train_pr_auc" queryTableFieldId="4" dataDxfId="0"/>
    <tableColumn id="5" xr3:uid="{F8C46A6B-9156-49C7-BD1D-943CE0448C45}" uniqueName="5" name="train_precision" queryTableFieldId="5"/>
    <tableColumn id="6" xr3:uid="{120CDC21-CA9A-46F8-9AC8-7ABBBB98A275}" uniqueName="6" name="train_recall" queryTableFieldId="6"/>
    <tableColumn id="7" xr3:uid="{01B2A4CB-8C66-4CB3-97A3-3690C370193F}" uniqueName="7" name="train_f1" queryTableFieldId="7"/>
    <tableColumn id="8" xr3:uid="{D1BFC903-90FD-4910-80AA-DBE0A4488EF6}" uniqueName="8" name="train_accuracy" queryTableFieldId="8"/>
    <tableColumn id="9" xr3:uid="{8D243126-2047-4C7F-B31E-50D279F2618B}" uniqueName="9" name="test_auc" queryTableFieldId="9"/>
    <tableColumn id="10" xr3:uid="{3212716B-64E3-4A29-91E6-101BF204AA6F}" uniqueName="10" name="test_pr_auc" queryTableFieldId="10"/>
    <tableColumn id="11" xr3:uid="{530DEA85-0109-484F-9452-3E961DA3B120}" uniqueName="11" name="test_precision" queryTableFieldId="11"/>
    <tableColumn id="12" xr3:uid="{6076A31E-9076-4A2B-9911-21FF9259C296}" uniqueName="12" name="test_recall" queryTableFieldId="12"/>
    <tableColumn id="13" xr3:uid="{D6FD7376-73CC-4698-B320-985D6DA709AD}" uniqueName="13" name="test_f1" queryTableFieldId="13"/>
    <tableColumn id="14" xr3:uid="{921EBF22-2484-4595-A743-3F68A01D482B}" uniqueName="14" name="test_accuracy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F81EAB-6BF9-4230-A30B-CCFA39920DF3}" name="Result01" displayName="Result01" ref="A1:L40" tableType="queryTable" totalsRowShown="0">
  <autoFilter ref="A1:L40" xr:uid="{DDF81EAB-6BF9-4230-A30B-CCFA39920DF3}"/>
  <tableColumns count="12">
    <tableColumn id="1" xr3:uid="{38E88C37-69BD-47D1-8566-ABFB25717FCF}" uniqueName="1" name="Feature_Selection" queryTableFieldId="1" dataDxfId="9"/>
    <tableColumn id="2" xr3:uid="{A54740BB-2F65-41F1-815A-14390EF2F488}" uniqueName="2" name="Model" queryTableFieldId="2" dataDxfId="8"/>
    <tableColumn id="3" xr3:uid="{11ED0E0D-7B5B-4FCF-890D-5A153C4BC83D}" uniqueName="3" name="train_auc" queryTableFieldId="3"/>
    <tableColumn id="4" xr3:uid="{9F3B0597-15D7-4A48-A971-DF39CD2058FF}" uniqueName="4" name="train_pr_auc" queryTableFieldId="4"/>
    <tableColumn id="5" xr3:uid="{083AB45B-D9D8-4E99-B07B-9D1781CC1621}" uniqueName="5" name="train_precision" queryTableFieldId="5"/>
    <tableColumn id="6" xr3:uid="{858F1CB7-91E5-44E3-AA2F-FF0243FB992D}" uniqueName="6" name="train_recall" queryTableFieldId="6"/>
    <tableColumn id="7" xr3:uid="{08950CC1-D9B6-4617-9772-38A5D212394D}" uniqueName="7" name="train_f1" queryTableFieldId="7"/>
    <tableColumn id="8" xr3:uid="{085E4916-218F-4B0D-8234-87EFE3267F3E}" uniqueName="8" name="test_auc" queryTableFieldId="8"/>
    <tableColumn id="9" xr3:uid="{8AAAF580-A649-4885-ADC6-E407D91E758D}" uniqueName="9" name="test_pr_auc" queryTableFieldId="9"/>
    <tableColumn id="10" xr3:uid="{CC71327F-7623-4985-A02C-742C6B5DEF4D}" uniqueName="10" name="test_precision" queryTableFieldId="10"/>
    <tableColumn id="11" xr3:uid="{245FFC7C-CC82-4C9E-A94B-A599510ADC38}" uniqueName="11" name="test_recall" queryTableFieldId="11"/>
    <tableColumn id="12" xr3:uid="{6903AD66-6184-4937-97DD-8E73FFC6ABDC}" uniqueName="12" name="test_f1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EA3ED-DE03-4CCB-BE8F-62CA7D9AA70A}" name="result__3" displayName="result__3" ref="A1:L45" tableType="queryTable" totalsRowShown="0">
  <autoFilter ref="A1:L45" xr:uid="{E0DEA3ED-DE03-4CCB-BE8F-62CA7D9AA70A}"/>
  <sortState xmlns:xlrd2="http://schemas.microsoft.com/office/spreadsheetml/2017/richdata2" ref="A2:L45">
    <sortCondition descending="1" ref="C1:C45"/>
  </sortState>
  <tableColumns count="12">
    <tableColumn id="1" xr3:uid="{A6AAF24E-B03D-445E-BE53-7DFBEC7C47B0}" uniqueName="1" name="Feature_Selection" queryTableFieldId="1" dataDxfId="7"/>
    <tableColumn id="2" xr3:uid="{278DE7B9-A2CA-4026-91FE-221243C918B4}" uniqueName="2" name="Model" queryTableFieldId="2" dataDxfId="6"/>
    <tableColumn id="3" xr3:uid="{D370A231-D409-4431-A6E7-09223564F603}" uniqueName="3" name="train_auc" queryTableFieldId="3"/>
    <tableColumn id="4" xr3:uid="{E57DEAE3-C355-4DAE-85BF-A5B4C1646AA4}" uniqueName="4" name="train_pr_auc" queryTableFieldId="4"/>
    <tableColumn id="5" xr3:uid="{4FBA0FF3-304B-4A94-897E-BCDBA9581C50}" uniqueName="5" name="train_precision" queryTableFieldId="5"/>
    <tableColumn id="6" xr3:uid="{95312E43-A97B-4C41-B165-3A1C0C5BA418}" uniqueName="6" name="train_recall" queryTableFieldId="6"/>
    <tableColumn id="7" xr3:uid="{C905B02E-52E0-4D69-8E7A-CD7906AADE14}" uniqueName="7" name="train_f1" queryTableFieldId="7"/>
    <tableColumn id="8" xr3:uid="{3A29A359-FC30-48B9-8641-70D02506F788}" uniqueName="8" name="test_auc" queryTableFieldId="8"/>
    <tableColumn id="9" xr3:uid="{94CC8255-257F-4AA1-8658-8DBFD1EB3317}" uniqueName="9" name="test_pr_auc" queryTableFieldId="9"/>
    <tableColumn id="10" xr3:uid="{B7BEEA1F-B2D6-41D5-BC82-404FBCFA53AF}" uniqueName="10" name="test_precision" queryTableFieldId="10"/>
    <tableColumn id="11" xr3:uid="{C21FC559-2F2B-40E3-95DC-E40EA606F8E7}" uniqueName="11" name="test_recall" queryTableFieldId="11"/>
    <tableColumn id="12" xr3:uid="{95305924-138B-4F3C-9532-D8ABCB79C5C8}" uniqueName="12" name="test_f1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BDC3F-F638-4033-82DC-F0E0CAD963B9}" name="result" displayName="result" ref="A1:L61" tableType="queryTable" totalsRowShown="0">
  <autoFilter ref="A1:L61" xr:uid="{E2ABDC3F-F638-4033-82DC-F0E0CAD963B9}"/>
  <sortState xmlns:xlrd2="http://schemas.microsoft.com/office/spreadsheetml/2017/richdata2" ref="A2:L61">
    <sortCondition descending="1" ref="G1:G61"/>
  </sortState>
  <tableColumns count="12">
    <tableColumn id="1" xr3:uid="{1F09C026-698F-4767-B403-A9BF6AF35CC5}" uniqueName="1" name="Feature_Selection" queryTableFieldId="1" dataDxfId="5"/>
    <tableColumn id="2" xr3:uid="{D790CC6D-FB86-4A4B-A9ED-6F2A1579113B}" uniqueName="2" name="Model" queryTableFieldId="2" dataDxfId="4"/>
    <tableColumn id="3" xr3:uid="{52A34E7E-CAA1-4798-816C-3E67C6E27DDC}" uniqueName="3" name="train_auc" queryTableFieldId="3"/>
    <tableColumn id="4" xr3:uid="{53C606A9-E5AB-4ABE-A118-AC993A2BBBEA}" uniqueName="4" name="train_pr_auc" queryTableFieldId="4"/>
    <tableColumn id="5" xr3:uid="{7E16D1A3-51E1-4BE0-ADFD-CA2209A2AC13}" uniqueName="5" name="train_precision" queryTableFieldId="5"/>
    <tableColumn id="6" xr3:uid="{3283A8D4-70B0-4267-98A5-DB98DC4BC14C}" uniqueName="6" name="train_recall" queryTableFieldId="6"/>
    <tableColumn id="7" xr3:uid="{406A3595-1C25-4925-926D-E89A9D872629}" uniqueName="7" name="train_f1" queryTableFieldId="7"/>
    <tableColumn id="8" xr3:uid="{920D7491-7A59-4823-8279-0A425EE38C33}" uniqueName="8" name="test_auc" queryTableFieldId="8"/>
    <tableColumn id="9" xr3:uid="{802ECC05-56C4-4809-8046-E86EB147DA98}" uniqueName="9" name="test_pr_auc" queryTableFieldId="9"/>
    <tableColumn id="10" xr3:uid="{ED3E2099-C669-44E9-83EB-41A57C941E36}" uniqueName="10" name="test_precision" queryTableFieldId="10"/>
    <tableColumn id="11" xr3:uid="{C7C161C2-40A7-434C-918F-0858EAACAE74}" uniqueName="11" name="test_recall" queryTableFieldId="11"/>
    <tableColumn id="12" xr3:uid="{9B84CD4B-B5C0-46DE-8B80-66BE30F10389}" uniqueName="12" name="test_f1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AB81-65BF-4160-AEE3-BB122BC10E2F}">
  <dimension ref="A1:N40"/>
  <sheetViews>
    <sheetView workbookViewId="0"/>
  </sheetViews>
  <sheetFormatPr defaultRowHeight="17" x14ac:dyDescent="0.4"/>
  <cols>
    <col min="1" max="1" width="20.453125" bestFit="1" customWidth="1"/>
    <col min="2" max="2" width="17.54296875" bestFit="1" customWidth="1"/>
    <col min="3" max="3" width="11.90625" bestFit="1" customWidth="1"/>
    <col min="4" max="4" width="15.08984375" bestFit="1" customWidth="1"/>
    <col min="5" max="5" width="17.453125" bestFit="1" customWidth="1"/>
    <col min="6" max="6" width="14.08984375" bestFit="1" customWidth="1"/>
    <col min="7" max="7" width="10.7265625" bestFit="1" customWidth="1"/>
    <col min="8" max="8" width="17.1796875" bestFit="1" customWidth="1"/>
    <col min="9" max="9" width="10.90625" bestFit="1" customWidth="1"/>
    <col min="10" max="10" width="14.08984375" bestFit="1" customWidth="1"/>
    <col min="11" max="11" width="16.36328125" bestFit="1" customWidth="1"/>
    <col min="12" max="12" width="13" bestFit="1" customWidth="1"/>
    <col min="13" max="13" width="9.7265625" bestFit="1" customWidth="1"/>
    <col min="14" max="14" width="16.08984375" bestFit="1" customWidth="1"/>
  </cols>
  <sheetData>
    <row r="1" spans="1:14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52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54</v>
      </c>
    </row>
    <row r="2" spans="1:14" x14ac:dyDescent="0.4">
      <c r="A2" s="41" t="s">
        <v>17</v>
      </c>
      <c r="B2" s="41" t="s">
        <v>21</v>
      </c>
      <c r="C2" s="41" t="s">
        <v>56</v>
      </c>
      <c r="D2" s="41" t="s">
        <v>57</v>
      </c>
      <c r="E2">
        <v>0.85519999999999996</v>
      </c>
      <c r="F2">
        <v>0.69499999999999995</v>
      </c>
      <c r="G2">
        <v>0.76670000000000005</v>
      </c>
      <c r="H2">
        <v>0.99939999999999996</v>
      </c>
      <c r="I2">
        <v>0.90900000000000003</v>
      </c>
      <c r="J2">
        <v>0.67290000000000005</v>
      </c>
      <c r="K2">
        <v>0.82850000000000001</v>
      </c>
      <c r="L2">
        <v>0.66900000000000004</v>
      </c>
      <c r="M2">
        <v>0.74019999999999997</v>
      </c>
      <c r="N2">
        <v>0.99929999999999997</v>
      </c>
    </row>
    <row r="3" spans="1:14" x14ac:dyDescent="0.4">
      <c r="A3" s="41" t="s">
        <v>48</v>
      </c>
      <c r="B3" s="41" t="s">
        <v>21</v>
      </c>
      <c r="C3" s="41" t="s">
        <v>58</v>
      </c>
      <c r="D3" s="41" t="s">
        <v>59</v>
      </c>
      <c r="E3">
        <v>0.8508</v>
      </c>
      <c r="F3">
        <v>0.69730000000000003</v>
      </c>
      <c r="G3">
        <v>0.76639999999999997</v>
      </c>
      <c r="H3">
        <v>0.99939999999999996</v>
      </c>
      <c r="I3">
        <v>0.91300000000000003</v>
      </c>
      <c r="J3">
        <v>0.68600000000000005</v>
      </c>
      <c r="K3">
        <v>0.81810000000000005</v>
      </c>
      <c r="L3">
        <v>0.67930000000000001</v>
      </c>
      <c r="M3">
        <v>0.74219999999999997</v>
      </c>
      <c r="N3">
        <v>0.99929999999999997</v>
      </c>
    </row>
    <row r="4" spans="1:14" x14ac:dyDescent="0.4">
      <c r="A4" s="41" t="s">
        <v>45</v>
      </c>
      <c r="B4" s="41" t="s">
        <v>21</v>
      </c>
      <c r="C4" s="41" t="s">
        <v>60</v>
      </c>
      <c r="D4" s="41" t="s">
        <v>61</v>
      </c>
      <c r="E4">
        <v>0.79620000000000002</v>
      </c>
      <c r="F4">
        <v>0.61339999999999995</v>
      </c>
      <c r="G4">
        <v>0.69279999999999997</v>
      </c>
      <c r="H4">
        <v>0.99919999999999998</v>
      </c>
      <c r="I4">
        <v>0.90669999999999995</v>
      </c>
      <c r="J4">
        <v>0.68049999999999999</v>
      </c>
      <c r="K4">
        <v>0.83260000000000001</v>
      </c>
      <c r="L4">
        <v>0.64800000000000002</v>
      </c>
      <c r="M4">
        <v>0.7288</v>
      </c>
      <c r="N4">
        <v>0.99929999999999997</v>
      </c>
    </row>
    <row r="5" spans="1:14" x14ac:dyDescent="0.4">
      <c r="A5" s="41" t="s">
        <v>47</v>
      </c>
      <c r="B5" s="41" t="s">
        <v>21</v>
      </c>
      <c r="C5" s="41" t="s">
        <v>62</v>
      </c>
      <c r="D5" s="41" t="s">
        <v>63</v>
      </c>
      <c r="E5">
        <v>0.67500000000000004</v>
      </c>
      <c r="F5">
        <v>0.35670000000000002</v>
      </c>
      <c r="G5">
        <v>0.46660000000000001</v>
      </c>
      <c r="H5">
        <v>0.99880000000000002</v>
      </c>
      <c r="I5">
        <v>0.8276</v>
      </c>
      <c r="J5">
        <v>0.33169999999999999</v>
      </c>
      <c r="K5">
        <v>0.61670000000000003</v>
      </c>
      <c r="L5">
        <v>0.30580000000000002</v>
      </c>
      <c r="M5">
        <v>0.4088</v>
      </c>
      <c r="N5">
        <v>0.99870000000000003</v>
      </c>
    </row>
    <row r="6" spans="1:14" x14ac:dyDescent="0.4">
      <c r="A6" s="41" t="s">
        <v>46</v>
      </c>
      <c r="B6" s="41" t="s">
        <v>21</v>
      </c>
      <c r="C6" s="41" t="s">
        <v>62</v>
      </c>
      <c r="D6" s="41" t="s">
        <v>63</v>
      </c>
      <c r="E6">
        <v>0.67500000000000004</v>
      </c>
      <c r="F6">
        <v>0.35670000000000002</v>
      </c>
      <c r="G6">
        <v>0.46660000000000001</v>
      </c>
      <c r="H6">
        <v>0.99880000000000002</v>
      </c>
      <c r="I6">
        <v>0.8276</v>
      </c>
      <c r="J6">
        <v>0.33169999999999999</v>
      </c>
      <c r="K6">
        <v>0.61670000000000003</v>
      </c>
      <c r="L6">
        <v>0.30580000000000002</v>
      </c>
      <c r="M6">
        <v>0.4088</v>
      </c>
      <c r="N6">
        <v>0.99870000000000003</v>
      </c>
    </row>
    <row r="7" spans="1:14" x14ac:dyDescent="0.4">
      <c r="A7" s="41" t="s">
        <v>41</v>
      </c>
      <c r="B7" s="41" t="s">
        <v>21</v>
      </c>
      <c r="C7" s="41" t="s">
        <v>64</v>
      </c>
      <c r="D7" s="41" t="s">
        <v>65</v>
      </c>
      <c r="E7">
        <v>0.64249999999999996</v>
      </c>
      <c r="F7">
        <v>0.35089999999999999</v>
      </c>
      <c r="G7">
        <v>0.45390000000000003</v>
      </c>
      <c r="H7">
        <v>0.99870000000000003</v>
      </c>
      <c r="I7">
        <v>0.8579</v>
      </c>
      <c r="J7">
        <v>0.34599999999999997</v>
      </c>
      <c r="K7">
        <v>0.58009999999999995</v>
      </c>
      <c r="L7">
        <v>0.33850000000000002</v>
      </c>
      <c r="M7">
        <v>0.42749999999999999</v>
      </c>
      <c r="N7">
        <v>0.99860000000000004</v>
      </c>
    </row>
    <row r="8" spans="1:14" x14ac:dyDescent="0.4">
      <c r="A8" s="41" t="s">
        <v>42</v>
      </c>
      <c r="B8" s="41" t="s">
        <v>21</v>
      </c>
      <c r="C8" s="41" t="s">
        <v>66</v>
      </c>
      <c r="D8" s="41" t="s">
        <v>67</v>
      </c>
      <c r="E8">
        <v>0.62809999999999999</v>
      </c>
      <c r="F8">
        <v>0.34</v>
      </c>
      <c r="G8">
        <v>0.44059999999999999</v>
      </c>
      <c r="H8">
        <v>0.99870000000000003</v>
      </c>
      <c r="I8">
        <v>0.90559999999999996</v>
      </c>
      <c r="J8">
        <v>0.38090000000000002</v>
      </c>
      <c r="K8">
        <v>0.66269999999999996</v>
      </c>
      <c r="L8">
        <v>0.32119999999999999</v>
      </c>
      <c r="M8">
        <v>0.43269999999999997</v>
      </c>
      <c r="N8">
        <v>0.99870000000000003</v>
      </c>
    </row>
    <row r="9" spans="1:14" x14ac:dyDescent="0.4">
      <c r="A9" s="41" t="s">
        <v>50</v>
      </c>
      <c r="B9" s="41" t="s">
        <v>21</v>
      </c>
      <c r="C9" s="41" t="s">
        <v>68</v>
      </c>
      <c r="D9" s="41" t="s">
        <v>69</v>
      </c>
      <c r="E9">
        <v>0.61040000000000005</v>
      </c>
      <c r="F9">
        <v>0.31840000000000002</v>
      </c>
      <c r="G9">
        <v>0.41830000000000001</v>
      </c>
      <c r="H9">
        <v>0.99870000000000003</v>
      </c>
      <c r="I9">
        <v>0.85499999999999998</v>
      </c>
      <c r="J9">
        <v>0.32200000000000001</v>
      </c>
      <c r="K9">
        <v>0.63419999999999999</v>
      </c>
      <c r="L9">
        <v>0.28649999999999998</v>
      </c>
      <c r="M9">
        <v>0.3947</v>
      </c>
      <c r="N9">
        <v>0.99870000000000003</v>
      </c>
    </row>
    <row r="10" spans="1:14" x14ac:dyDescent="0.4">
      <c r="A10" s="41" t="s">
        <v>43</v>
      </c>
      <c r="B10" s="41" t="s">
        <v>21</v>
      </c>
      <c r="C10" s="41" t="s">
        <v>70</v>
      </c>
      <c r="D10" s="41" t="s">
        <v>71</v>
      </c>
      <c r="E10">
        <v>0.60350000000000004</v>
      </c>
      <c r="F10">
        <v>0.29899999999999999</v>
      </c>
      <c r="G10">
        <v>0.39960000000000001</v>
      </c>
      <c r="H10">
        <v>0.99870000000000003</v>
      </c>
      <c r="I10">
        <v>0.82220000000000004</v>
      </c>
      <c r="J10">
        <v>0.25090000000000001</v>
      </c>
      <c r="K10">
        <v>0.58579999999999999</v>
      </c>
      <c r="L10">
        <v>0.26800000000000002</v>
      </c>
      <c r="M10">
        <v>0.36780000000000002</v>
      </c>
      <c r="N10">
        <v>0.99860000000000004</v>
      </c>
    </row>
    <row r="11" spans="1:14" x14ac:dyDescent="0.4">
      <c r="A11" s="41" t="s">
        <v>49</v>
      </c>
      <c r="B11" s="41" t="s">
        <v>21</v>
      </c>
      <c r="C11" s="41" t="s">
        <v>72</v>
      </c>
      <c r="D11" s="41" t="s">
        <v>73</v>
      </c>
      <c r="E11">
        <v>0.84119999999999995</v>
      </c>
      <c r="F11">
        <v>0.2155</v>
      </c>
      <c r="G11">
        <v>0.34289999999999998</v>
      </c>
      <c r="H11">
        <v>0.99880000000000002</v>
      </c>
      <c r="I11">
        <v>0.72419999999999995</v>
      </c>
      <c r="J11">
        <v>1.1599999999999999E-2</v>
      </c>
      <c r="K11">
        <v>0</v>
      </c>
      <c r="L11">
        <v>0</v>
      </c>
      <c r="M11">
        <v>0</v>
      </c>
      <c r="N11">
        <v>0.99660000000000004</v>
      </c>
    </row>
    <row r="12" spans="1:14" x14ac:dyDescent="0.4">
      <c r="A12" s="41" t="s">
        <v>48</v>
      </c>
      <c r="B12" s="41" t="s">
        <v>18</v>
      </c>
      <c r="C12" s="41" t="s">
        <v>74</v>
      </c>
      <c r="D12" s="41" t="s">
        <v>75</v>
      </c>
      <c r="E12">
        <v>5.0700000000000002E-2</v>
      </c>
      <c r="F12">
        <v>0.14360000000000001</v>
      </c>
      <c r="G12">
        <v>7.4899999999999994E-2</v>
      </c>
      <c r="H12">
        <v>0.99470000000000003</v>
      </c>
      <c r="I12">
        <v>0.86180000000000001</v>
      </c>
      <c r="J12">
        <v>2.4899999999999999E-2</v>
      </c>
      <c r="K12">
        <v>5.0200000000000002E-2</v>
      </c>
      <c r="L12">
        <v>0.14099999999999999</v>
      </c>
      <c r="M12">
        <v>7.4099999999999999E-2</v>
      </c>
      <c r="N12">
        <v>0.99470000000000003</v>
      </c>
    </row>
    <row r="13" spans="1:14" x14ac:dyDescent="0.4">
      <c r="A13" s="41" t="s">
        <v>41</v>
      </c>
      <c r="B13" s="41" t="s">
        <v>18</v>
      </c>
      <c r="C13" s="41" t="s">
        <v>76</v>
      </c>
      <c r="D13" s="41" t="s">
        <v>77</v>
      </c>
      <c r="E13">
        <v>5.04E-2</v>
      </c>
      <c r="F13">
        <v>0.1421</v>
      </c>
      <c r="G13">
        <v>7.4399999999999994E-2</v>
      </c>
      <c r="H13">
        <v>0.99470000000000003</v>
      </c>
      <c r="I13">
        <v>0.8619</v>
      </c>
      <c r="J13">
        <v>2.46E-2</v>
      </c>
      <c r="K13">
        <v>4.9500000000000002E-2</v>
      </c>
      <c r="L13">
        <v>0.13900000000000001</v>
      </c>
      <c r="M13">
        <v>7.2999999999999995E-2</v>
      </c>
      <c r="N13">
        <v>0.99470000000000003</v>
      </c>
    </row>
    <row r="14" spans="1:14" x14ac:dyDescent="0.4">
      <c r="A14" s="41" t="s">
        <v>42</v>
      </c>
      <c r="B14" s="41" t="s">
        <v>18</v>
      </c>
      <c r="C14" s="41" t="s">
        <v>78</v>
      </c>
      <c r="D14" s="41" t="s">
        <v>79</v>
      </c>
      <c r="E14">
        <v>5.0299999999999997E-2</v>
      </c>
      <c r="F14">
        <v>0.14119999999999999</v>
      </c>
      <c r="G14">
        <v>7.4099999999999999E-2</v>
      </c>
      <c r="H14">
        <v>0.99470000000000003</v>
      </c>
      <c r="I14">
        <v>0.8629</v>
      </c>
      <c r="J14">
        <v>2.47E-2</v>
      </c>
      <c r="K14">
        <v>4.9500000000000002E-2</v>
      </c>
      <c r="L14">
        <v>0.13800000000000001</v>
      </c>
      <c r="M14">
        <v>7.2800000000000004E-2</v>
      </c>
      <c r="N14">
        <v>0.99470000000000003</v>
      </c>
    </row>
    <row r="15" spans="1:14" x14ac:dyDescent="0.4">
      <c r="A15" s="41" t="s">
        <v>46</v>
      </c>
      <c r="B15" s="41" t="s">
        <v>18</v>
      </c>
      <c r="C15" s="41" t="s">
        <v>80</v>
      </c>
      <c r="D15" s="41" t="s">
        <v>79</v>
      </c>
      <c r="E15">
        <v>4.99E-2</v>
      </c>
      <c r="F15">
        <v>0.14050000000000001</v>
      </c>
      <c r="G15">
        <v>7.3599999999999999E-2</v>
      </c>
      <c r="H15">
        <v>0.99470000000000003</v>
      </c>
      <c r="I15">
        <v>0.8629</v>
      </c>
      <c r="J15">
        <v>2.47E-2</v>
      </c>
      <c r="K15">
        <v>4.9099999999999998E-2</v>
      </c>
      <c r="L15">
        <v>0.13730000000000001</v>
      </c>
      <c r="M15">
        <v>7.2300000000000003E-2</v>
      </c>
      <c r="N15">
        <v>0.99470000000000003</v>
      </c>
    </row>
    <row r="16" spans="1:14" x14ac:dyDescent="0.4">
      <c r="A16" s="41" t="s">
        <v>47</v>
      </c>
      <c r="B16" s="41" t="s">
        <v>18</v>
      </c>
      <c r="C16" s="41" t="s">
        <v>80</v>
      </c>
      <c r="D16" s="41" t="s">
        <v>79</v>
      </c>
      <c r="E16">
        <v>4.99E-2</v>
      </c>
      <c r="F16">
        <v>0.14050000000000001</v>
      </c>
      <c r="G16">
        <v>7.3599999999999999E-2</v>
      </c>
      <c r="H16">
        <v>0.99470000000000003</v>
      </c>
      <c r="I16">
        <v>0.8629</v>
      </c>
      <c r="J16">
        <v>2.47E-2</v>
      </c>
      <c r="K16">
        <v>4.9099999999999998E-2</v>
      </c>
      <c r="L16">
        <v>0.13730000000000001</v>
      </c>
      <c r="M16">
        <v>7.2300000000000003E-2</v>
      </c>
      <c r="N16">
        <v>0.99470000000000003</v>
      </c>
    </row>
    <row r="17" spans="1:14" x14ac:dyDescent="0.4">
      <c r="A17" s="41" t="s">
        <v>50</v>
      </c>
      <c r="B17" s="41" t="s">
        <v>18</v>
      </c>
      <c r="C17" s="41" t="s">
        <v>81</v>
      </c>
      <c r="D17" s="41" t="s">
        <v>82</v>
      </c>
      <c r="E17">
        <v>4.53E-2</v>
      </c>
      <c r="F17">
        <v>0.1234</v>
      </c>
      <c r="G17">
        <v>6.6299999999999998E-2</v>
      </c>
      <c r="H17">
        <v>0.99480000000000002</v>
      </c>
      <c r="I17">
        <v>0.84989999999999999</v>
      </c>
      <c r="J17">
        <v>2.1100000000000001E-2</v>
      </c>
      <c r="K17">
        <v>4.3299999999999998E-2</v>
      </c>
      <c r="L17">
        <v>0.1163</v>
      </c>
      <c r="M17">
        <v>6.3100000000000003E-2</v>
      </c>
      <c r="N17">
        <v>0.99480000000000002</v>
      </c>
    </row>
    <row r="18" spans="1:14" x14ac:dyDescent="0.4">
      <c r="A18" s="41" t="s">
        <v>43</v>
      </c>
      <c r="B18" s="41" t="s">
        <v>18</v>
      </c>
      <c r="C18" s="41" t="s">
        <v>83</v>
      </c>
      <c r="D18" s="41" t="s">
        <v>84</v>
      </c>
      <c r="E18">
        <v>4.3799999999999999E-2</v>
      </c>
      <c r="F18">
        <v>0.1278</v>
      </c>
      <c r="G18">
        <v>6.5199999999999994E-2</v>
      </c>
      <c r="H18">
        <v>0.99450000000000005</v>
      </c>
      <c r="I18">
        <v>0.86839999999999995</v>
      </c>
      <c r="J18">
        <v>2.2599999999999999E-2</v>
      </c>
      <c r="K18">
        <v>4.2700000000000002E-2</v>
      </c>
      <c r="L18">
        <v>0.124</v>
      </c>
      <c r="M18">
        <v>6.3500000000000001E-2</v>
      </c>
      <c r="N18">
        <v>0.99450000000000005</v>
      </c>
    </row>
    <row r="19" spans="1:14" x14ac:dyDescent="0.4">
      <c r="A19" s="41" t="s">
        <v>45</v>
      </c>
      <c r="B19" s="41" t="s">
        <v>18</v>
      </c>
      <c r="C19" s="41" t="s">
        <v>85</v>
      </c>
      <c r="D19" s="41" t="s">
        <v>86</v>
      </c>
      <c r="E19">
        <v>4.2799999999999998E-2</v>
      </c>
      <c r="F19">
        <v>0.12470000000000001</v>
      </c>
      <c r="G19">
        <v>6.3799999999999996E-2</v>
      </c>
      <c r="H19">
        <v>0.99450000000000005</v>
      </c>
      <c r="I19">
        <v>0.86809999999999998</v>
      </c>
      <c r="J19">
        <v>2.24E-2</v>
      </c>
      <c r="K19">
        <v>4.2000000000000003E-2</v>
      </c>
      <c r="L19">
        <v>0.1217</v>
      </c>
      <c r="M19">
        <v>6.25E-2</v>
      </c>
      <c r="N19">
        <v>0.99450000000000005</v>
      </c>
    </row>
    <row r="20" spans="1:14" x14ac:dyDescent="0.4">
      <c r="A20" s="41" t="s">
        <v>50</v>
      </c>
      <c r="B20" s="41" t="s">
        <v>20</v>
      </c>
      <c r="C20" s="41" t="s">
        <v>87</v>
      </c>
      <c r="D20" s="41" t="s">
        <v>88</v>
      </c>
      <c r="E20">
        <v>2.9499999999999998E-2</v>
      </c>
      <c r="F20">
        <v>0.2656</v>
      </c>
      <c r="G20">
        <v>5.3100000000000001E-2</v>
      </c>
      <c r="H20">
        <v>0.98580000000000001</v>
      </c>
      <c r="I20">
        <v>0.90710000000000002</v>
      </c>
      <c r="J20">
        <v>1.8700000000000001E-2</v>
      </c>
      <c r="K20">
        <v>2.8799999999999999E-2</v>
      </c>
      <c r="L20">
        <v>0.25969999999999999</v>
      </c>
      <c r="M20">
        <v>5.1900000000000002E-2</v>
      </c>
      <c r="N20">
        <v>0.98580000000000001</v>
      </c>
    </row>
    <row r="21" spans="1:14" x14ac:dyDescent="0.4">
      <c r="A21" s="41" t="s">
        <v>48</v>
      </c>
      <c r="B21" s="41" t="s">
        <v>20</v>
      </c>
      <c r="C21" s="41" t="s">
        <v>89</v>
      </c>
      <c r="D21" s="41" t="s">
        <v>84</v>
      </c>
      <c r="E21">
        <v>1.83E-2</v>
      </c>
      <c r="F21">
        <v>0.5766</v>
      </c>
      <c r="G21">
        <v>3.5400000000000001E-2</v>
      </c>
      <c r="H21">
        <v>0.95299999999999996</v>
      </c>
      <c r="I21">
        <v>0.91959999999999997</v>
      </c>
      <c r="J21">
        <v>2.2100000000000002E-2</v>
      </c>
      <c r="K21">
        <v>1.83E-2</v>
      </c>
      <c r="L21">
        <v>0.57550000000000001</v>
      </c>
      <c r="M21">
        <v>3.5400000000000001E-2</v>
      </c>
      <c r="N21">
        <v>0.95309999999999995</v>
      </c>
    </row>
    <row r="22" spans="1:14" x14ac:dyDescent="0.4">
      <c r="A22" s="41" t="s">
        <v>47</v>
      </c>
      <c r="B22" s="41" t="s">
        <v>20</v>
      </c>
      <c r="C22" s="41" t="s">
        <v>90</v>
      </c>
      <c r="D22" s="41" t="s">
        <v>91</v>
      </c>
      <c r="E22">
        <v>1.4500000000000001E-2</v>
      </c>
      <c r="F22">
        <v>0.60699999999999998</v>
      </c>
      <c r="G22">
        <v>2.81E-2</v>
      </c>
      <c r="H22">
        <v>0.92659999999999998</v>
      </c>
      <c r="I22">
        <v>0.88980000000000004</v>
      </c>
      <c r="J22">
        <v>1.7399999999999999E-2</v>
      </c>
      <c r="K22">
        <v>9.7000000000000003E-3</v>
      </c>
      <c r="L22">
        <v>0.71030000000000004</v>
      </c>
      <c r="M22">
        <v>1.9099999999999999E-2</v>
      </c>
      <c r="N22">
        <v>0.89070000000000005</v>
      </c>
    </row>
    <row r="23" spans="1:14" x14ac:dyDescent="0.4">
      <c r="A23" s="41" t="s">
        <v>43</v>
      </c>
      <c r="B23" s="41" t="s">
        <v>20</v>
      </c>
      <c r="C23" s="41" t="s">
        <v>92</v>
      </c>
      <c r="D23" s="41" t="s">
        <v>93</v>
      </c>
      <c r="E23">
        <v>1.0200000000000001E-2</v>
      </c>
      <c r="F23">
        <v>0.70579999999999998</v>
      </c>
      <c r="G23">
        <v>2.01E-2</v>
      </c>
      <c r="H23">
        <v>0.89459999999999995</v>
      </c>
      <c r="I23">
        <v>0.90349999999999997</v>
      </c>
      <c r="J23">
        <v>2.18E-2</v>
      </c>
      <c r="K23">
        <v>9.9000000000000008E-3</v>
      </c>
      <c r="L23">
        <v>0.7077</v>
      </c>
      <c r="M23">
        <v>1.9599999999999999E-2</v>
      </c>
      <c r="N23">
        <v>0.89410000000000001</v>
      </c>
    </row>
    <row r="24" spans="1:14" x14ac:dyDescent="0.4">
      <c r="A24" s="41" t="s">
        <v>41</v>
      </c>
      <c r="B24" s="41" t="s">
        <v>20</v>
      </c>
      <c r="C24" s="41" t="s">
        <v>94</v>
      </c>
      <c r="D24" s="41" t="s">
        <v>84</v>
      </c>
      <c r="E24">
        <v>9.5999999999999992E-3</v>
      </c>
      <c r="F24">
        <v>0.77869999999999995</v>
      </c>
      <c r="G24">
        <v>1.9E-2</v>
      </c>
      <c r="H24">
        <v>0.87939999999999996</v>
      </c>
      <c r="I24">
        <v>0.90820000000000001</v>
      </c>
      <c r="J24">
        <v>2.2599999999999999E-2</v>
      </c>
      <c r="K24">
        <v>9.2999999999999992E-3</v>
      </c>
      <c r="L24">
        <v>0.85680000000000001</v>
      </c>
      <c r="M24">
        <v>1.84E-2</v>
      </c>
      <c r="N24">
        <v>0.86329999999999996</v>
      </c>
    </row>
    <row r="25" spans="1:14" x14ac:dyDescent="0.4">
      <c r="A25" s="41" t="s">
        <v>46</v>
      </c>
      <c r="B25" s="41" t="s">
        <v>20</v>
      </c>
      <c r="C25" s="41" t="s">
        <v>95</v>
      </c>
      <c r="D25" s="41" t="s">
        <v>96</v>
      </c>
      <c r="E25">
        <v>9.5999999999999992E-3</v>
      </c>
      <c r="F25">
        <v>0.6895</v>
      </c>
      <c r="G25">
        <v>1.89E-2</v>
      </c>
      <c r="H25">
        <v>0.89139999999999997</v>
      </c>
      <c r="I25">
        <v>0.88519999999999999</v>
      </c>
      <c r="J25">
        <v>1.7899999999999999E-2</v>
      </c>
      <c r="K25">
        <v>9.1000000000000004E-3</v>
      </c>
      <c r="L25">
        <v>0.69069999999999998</v>
      </c>
      <c r="M25">
        <v>1.7999999999999999E-2</v>
      </c>
      <c r="N25">
        <v>0.88749999999999996</v>
      </c>
    </row>
    <row r="26" spans="1:14" x14ac:dyDescent="0.4">
      <c r="A26" s="41" t="s">
        <v>42</v>
      </c>
      <c r="B26" s="41" t="s">
        <v>20</v>
      </c>
      <c r="C26" s="41" t="s">
        <v>97</v>
      </c>
      <c r="D26" s="41" t="s">
        <v>98</v>
      </c>
      <c r="E26">
        <v>8.0000000000000002E-3</v>
      </c>
      <c r="F26">
        <v>0.87319999999999998</v>
      </c>
      <c r="G26">
        <v>1.5800000000000002E-2</v>
      </c>
      <c r="H26">
        <v>0.83660000000000001</v>
      </c>
      <c r="I26">
        <v>0.90300000000000002</v>
      </c>
      <c r="J26">
        <v>2.1600000000000001E-2</v>
      </c>
      <c r="K26">
        <v>8.2000000000000007E-3</v>
      </c>
      <c r="L26">
        <v>0.76119999999999999</v>
      </c>
      <c r="M26">
        <v>1.6299999999999999E-2</v>
      </c>
      <c r="N26">
        <v>0.86240000000000006</v>
      </c>
    </row>
    <row r="27" spans="1:14" x14ac:dyDescent="0.4">
      <c r="A27" s="41" t="s">
        <v>45</v>
      </c>
      <c r="B27" s="41" t="s">
        <v>20</v>
      </c>
      <c r="C27" s="41" t="s">
        <v>99</v>
      </c>
      <c r="D27" s="41" t="s">
        <v>100</v>
      </c>
      <c r="E27">
        <v>7.4999999999999997E-3</v>
      </c>
      <c r="F27">
        <v>0.88570000000000004</v>
      </c>
      <c r="G27">
        <v>1.49E-2</v>
      </c>
      <c r="H27">
        <v>0.82310000000000005</v>
      </c>
      <c r="I27">
        <v>0.90369999999999995</v>
      </c>
      <c r="J27">
        <v>2.29E-2</v>
      </c>
      <c r="K27">
        <v>8.6999999999999994E-3</v>
      </c>
      <c r="L27">
        <v>0.83930000000000005</v>
      </c>
      <c r="M27">
        <v>1.7299999999999999E-2</v>
      </c>
      <c r="N27">
        <v>0.85729999999999995</v>
      </c>
    </row>
    <row r="28" spans="1:14" x14ac:dyDescent="0.4">
      <c r="A28" s="41" t="s">
        <v>17</v>
      </c>
      <c r="B28" s="41" t="s">
        <v>20</v>
      </c>
      <c r="C28" s="41" t="s">
        <v>101</v>
      </c>
      <c r="D28" s="41" t="s">
        <v>101</v>
      </c>
      <c r="E28">
        <v>3.8999999999999998E-3</v>
      </c>
      <c r="F28">
        <v>0.70599999999999996</v>
      </c>
      <c r="G28">
        <v>7.7000000000000002E-3</v>
      </c>
      <c r="H28">
        <v>0.78059999999999996</v>
      </c>
      <c r="I28">
        <v>0.86309999999999998</v>
      </c>
      <c r="J28">
        <v>1.95E-2</v>
      </c>
      <c r="K28">
        <v>6.1999999999999998E-3</v>
      </c>
      <c r="L28">
        <v>0.79869999999999997</v>
      </c>
      <c r="M28">
        <v>1.2200000000000001E-2</v>
      </c>
      <c r="N28">
        <v>0.80669999999999997</v>
      </c>
    </row>
    <row r="29" spans="1:14" x14ac:dyDescent="0.4">
      <c r="A29" s="41" t="s">
        <v>48</v>
      </c>
      <c r="B29" s="41" t="s">
        <v>19</v>
      </c>
      <c r="C29" s="41" t="s">
        <v>102</v>
      </c>
      <c r="D29" s="41" t="s">
        <v>103</v>
      </c>
      <c r="E29">
        <v>0</v>
      </c>
      <c r="F29">
        <v>0</v>
      </c>
      <c r="G29">
        <v>0</v>
      </c>
      <c r="H29">
        <v>0.99850000000000005</v>
      </c>
      <c r="I29">
        <v>0.8861</v>
      </c>
      <c r="J29">
        <v>1.7000000000000001E-2</v>
      </c>
      <c r="K29">
        <v>0</v>
      </c>
      <c r="L29">
        <v>0</v>
      </c>
      <c r="M29">
        <v>0</v>
      </c>
      <c r="N29">
        <v>0.99850000000000005</v>
      </c>
    </row>
    <row r="30" spans="1:14" x14ac:dyDescent="0.4">
      <c r="A30" s="41" t="s">
        <v>17</v>
      </c>
      <c r="B30" s="41" t="s">
        <v>19</v>
      </c>
      <c r="C30" s="41" t="s">
        <v>104</v>
      </c>
      <c r="D30" s="41" t="s">
        <v>105</v>
      </c>
      <c r="E30">
        <v>0</v>
      </c>
      <c r="F30">
        <v>0</v>
      </c>
      <c r="G30">
        <v>0</v>
      </c>
      <c r="H30">
        <v>0.99850000000000005</v>
      </c>
      <c r="I30">
        <v>0.86829999999999996</v>
      </c>
      <c r="J30">
        <v>1.41E-2</v>
      </c>
      <c r="K30">
        <v>0</v>
      </c>
      <c r="L30">
        <v>0</v>
      </c>
      <c r="M30">
        <v>0</v>
      </c>
      <c r="N30">
        <v>0.99850000000000005</v>
      </c>
    </row>
    <row r="31" spans="1:14" x14ac:dyDescent="0.4">
      <c r="A31" s="41" t="s">
        <v>43</v>
      </c>
      <c r="B31" s="41" t="s">
        <v>19</v>
      </c>
      <c r="C31" s="41" t="s">
        <v>106</v>
      </c>
      <c r="D31" s="41" t="s">
        <v>107</v>
      </c>
      <c r="E31">
        <v>0</v>
      </c>
      <c r="F31">
        <v>0</v>
      </c>
      <c r="G31">
        <v>0</v>
      </c>
      <c r="H31">
        <v>0.99850000000000005</v>
      </c>
      <c r="I31">
        <v>0.88839999999999997</v>
      </c>
      <c r="J31">
        <v>1.7399999999999999E-2</v>
      </c>
      <c r="K31">
        <v>0</v>
      </c>
      <c r="L31">
        <v>0</v>
      </c>
      <c r="M31">
        <v>0</v>
      </c>
      <c r="N31">
        <v>0.99850000000000005</v>
      </c>
    </row>
    <row r="32" spans="1:14" x14ac:dyDescent="0.4">
      <c r="A32" s="41" t="s">
        <v>49</v>
      </c>
      <c r="B32" s="41" t="s">
        <v>19</v>
      </c>
      <c r="C32" s="41" t="s">
        <v>108</v>
      </c>
      <c r="D32" s="41" t="s">
        <v>109</v>
      </c>
      <c r="E32">
        <v>0</v>
      </c>
      <c r="F32">
        <v>0</v>
      </c>
      <c r="G32">
        <v>0</v>
      </c>
      <c r="H32">
        <v>0.99850000000000005</v>
      </c>
      <c r="I32">
        <v>0.87290000000000001</v>
      </c>
      <c r="J32">
        <v>1.35E-2</v>
      </c>
      <c r="K32">
        <v>0</v>
      </c>
      <c r="L32">
        <v>0</v>
      </c>
      <c r="M32">
        <v>0</v>
      </c>
      <c r="N32">
        <v>0.99850000000000005</v>
      </c>
    </row>
    <row r="33" spans="1:14" x14ac:dyDescent="0.4">
      <c r="A33" s="41" t="s">
        <v>47</v>
      </c>
      <c r="B33" s="41" t="s">
        <v>19</v>
      </c>
      <c r="C33" s="41" t="s">
        <v>110</v>
      </c>
      <c r="D33" s="41" t="s">
        <v>109</v>
      </c>
      <c r="E33">
        <v>0</v>
      </c>
      <c r="F33">
        <v>0</v>
      </c>
      <c r="G33">
        <v>0</v>
      </c>
      <c r="H33">
        <v>0.99850000000000005</v>
      </c>
      <c r="I33">
        <v>0.86409999999999998</v>
      </c>
      <c r="J33">
        <v>1.3299999999999999E-2</v>
      </c>
      <c r="K33">
        <v>0</v>
      </c>
      <c r="L33">
        <v>0</v>
      </c>
      <c r="M33">
        <v>0</v>
      </c>
      <c r="N33">
        <v>0.99850000000000005</v>
      </c>
    </row>
    <row r="34" spans="1:14" x14ac:dyDescent="0.4">
      <c r="A34" s="41" t="s">
        <v>46</v>
      </c>
      <c r="B34" s="41" t="s">
        <v>19</v>
      </c>
      <c r="C34" s="41" t="s">
        <v>110</v>
      </c>
      <c r="D34" s="41" t="s">
        <v>109</v>
      </c>
      <c r="E34">
        <v>0</v>
      </c>
      <c r="F34">
        <v>0</v>
      </c>
      <c r="G34">
        <v>0</v>
      </c>
      <c r="H34">
        <v>0.99850000000000005</v>
      </c>
      <c r="I34">
        <v>0.86409999999999998</v>
      </c>
      <c r="J34">
        <v>1.3299999999999999E-2</v>
      </c>
      <c r="K34">
        <v>0</v>
      </c>
      <c r="L34">
        <v>0</v>
      </c>
      <c r="M34">
        <v>0</v>
      </c>
      <c r="N34">
        <v>0.99850000000000005</v>
      </c>
    </row>
    <row r="35" spans="1:14" x14ac:dyDescent="0.4">
      <c r="A35" s="41" t="s">
        <v>49</v>
      </c>
      <c r="B35" s="41" t="s">
        <v>18</v>
      </c>
      <c r="C35" s="41" t="s">
        <v>111</v>
      </c>
      <c r="D35" s="41" t="s">
        <v>112</v>
      </c>
      <c r="E35">
        <v>0</v>
      </c>
      <c r="F35">
        <v>0</v>
      </c>
      <c r="G35">
        <v>0</v>
      </c>
      <c r="H35">
        <v>0.99850000000000005</v>
      </c>
      <c r="I35">
        <v>0.86739999999999995</v>
      </c>
      <c r="J35">
        <v>1.3299999999999999E-2</v>
      </c>
      <c r="K35">
        <v>0</v>
      </c>
      <c r="L35">
        <v>0</v>
      </c>
      <c r="M35">
        <v>0</v>
      </c>
      <c r="N35">
        <v>0.99850000000000005</v>
      </c>
    </row>
    <row r="36" spans="1:14" x14ac:dyDescent="0.4">
      <c r="A36" s="41" t="s">
        <v>49</v>
      </c>
      <c r="B36" s="41" t="s">
        <v>20</v>
      </c>
      <c r="C36" s="41" t="s">
        <v>113</v>
      </c>
      <c r="D36" s="41" t="s">
        <v>112</v>
      </c>
      <c r="E36">
        <v>0</v>
      </c>
      <c r="F36">
        <v>0</v>
      </c>
      <c r="G36">
        <v>0</v>
      </c>
      <c r="H36">
        <v>0.99850000000000005</v>
      </c>
      <c r="I36">
        <v>0.8669</v>
      </c>
      <c r="J36">
        <v>1.34E-2</v>
      </c>
      <c r="K36">
        <v>0</v>
      </c>
      <c r="L36">
        <v>0</v>
      </c>
      <c r="M36">
        <v>0</v>
      </c>
      <c r="N36">
        <v>0.99850000000000005</v>
      </c>
    </row>
    <row r="37" spans="1:14" x14ac:dyDescent="0.4">
      <c r="A37" s="41" t="s">
        <v>42</v>
      </c>
      <c r="B37" s="41" t="s">
        <v>19</v>
      </c>
      <c r="C37" s="41" t="s">
        <v>114</v>
      </c>
      <c r="D37" s="41" t="s">
        <v>115</v>
      </c>
      <c r="E37">
        <v>0</v>
      </c>
      <c r="F37">
        <v>0</v>
      </c>
      <c r="G37">
        <v>0</v>
      </c>
      <c r="H37">
        <v>0.99850000000000005</v>
      </c>
      <c r="I37">
        <v>0.88870000000000005</v>
      </c>
      <c r="J37">
        <v>1.8700000000000001E-2</v>
      </c>
      <c r="K37">
        <v>0</v>
      </c>
      <c r="L37">
        <v>0</v>
      </c>
      <c r="M37">
        <v>0</v>
      </c>
      <c r="N37">
        <v>0.99850000000000005</v>
      </c>
    </row>
    <row r="38" spans="1:14" x14ac:dyDescent="0.4">
      <c r="A38" s="41" t="s">
        <v>41</v>
      </c>
      <c r="B38" s="41" t="s">
        <v>19</v>
      </c>
      <c r="C38" s="41" t="s">
        <v>116</v>
      </c>
      <c r="D38" s="41" t="s">
        <v>117</v>
      </c>
      <c r="E38">
        <v>0</v>
      </c>
      <c r="F38">
        <v>0</v>
      </c>
      <c r="G38">
        <v>0</v>
      </c>
      <c r="H38">
        <v>0.99850000000000005</v>
      </c>
      <c r="I38">
        <v>0.88859999999999995</v>
      </c>
      <c r="J38">
        <v>1.8200000000000001E-2</v>
      </c>
      <c r="K38">
        <v>0</v>
      </c>
      <c r="L38">
        <v>0</v>
      </c>
      <c r="M38">
        <v>0</v>
      </c>
      <c r="N38">
        <v>0.99850000000000005</v>
      </c>
    </row>
    <row r="39" spans="1:14" x14ac:dyDescent="0.4">
      <c r="A39" s="41" t="s">
        <v>45</v>
      </c>
      <c r="B39" s="41" t="s">
        <v>19</v>
      </c>
      <c r="C39" s="41" t="s">
        <v>118</v>
      </c>
      <c r="D39" s="41" t="s">
        <v>119</v>
      </c>
      <c r="E39">
        <v>0</v>
      </c>
      <c r="F39">
        <v>0</v>
      </c>
      <c r="G39">
        <v>0</v>
      </c>
      <c r="H39">
        <v>0.99850000000000005</v>
      </c>
      <c r="I39">
        <v>0.87629999999999997</v>
      </c>
      <c r="J39">
        <v>1.6500000000000001E-2</v>
      </c>
      <c r="K39">
        <v>0</v>
      </c>
      <c r="L39">
        <v>0</v>
      </c>
      <c r="M39">
        <v>0</v>
      </c>
      <c r="N39">
        <v>0.99850000000000005</v>
      </c>
    </row>
    <row r="40" spans="1:14" x14ac:dyDescent="0.4">
      <c r="A40" s="41" t="s">
        <v>50</v>
      </c>
      <c r="B40" s="41" t="s">
        <v>19</v>
      </c>
      <c r="C40" s="41" t="s">
        <v>120</v>
      </c>
      <c r="D40" s="41" t="s">
        <v>121</v>
      </c>
      <c r="E40">
        <v>0</v>
      </c>
      <c r="F40">
        <v>0</v>
      </c>
      <c r="G40">
        <v>0</v>
      </c>
      <c r="H40">
        <v>0.99850000000000005</v>
      </c>
      <c r="I40">
        <v>0.87490000000000001</v>
      </c>
      <c r="J40">
        <v>8.0999999999999996E-3</v>
      </c>
      <c r="K40">
        <v>0</v>
      </c>
      <c r="L40">
        <v>0</v>
      </c>
      <c r="M40">
        <v>0</v>
      </c>
      <c r="N40">
        <v>0.99850000000000005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693B-E627-4644-AF03-55E36E793876}">
  <sheetPr>
    <pageSetUpPr fitToPage="1"/>
  </sheetPr>
  <dimension ref="A1:AA251"/>
  <sheetViews>
    <sheetView showGridLines="0" tabSelected="1" zoomScale="85" zoomScaleNormal="85" workbookViewId="0">
      <pane xSplit="4" ySplit="2" topLeftCell="E30" activePane="bottomRight" state="frozen"/>
      <selection pane="topRight" activeCell="D1" sqref="D1"/>
      <selection pane="bottomLeft" activeCell="A2" sqref="A2"/>
      <selection pane="bottomRight" activeCell="Q42" sqref="Q42"/>
    </sheetView>
  </sheetViews>
  <sheetFormatPr defaultRowHeight="20" customHeight="1" x14ac:dyDescent="0.4"/>
  <cols>
    <col min="1" max="1" width="8.7265625" style="8"/>
    <col min="2" max="2" width="25.6328125" style="11" customWidth="1"/>
    <col min="3" max="3" width="6.81640625" style="8" hidden="1" customWidth="1"/>
    <col min="4" max="4" width="24.453125" style="17" customWidth="1"/>
    <col min="5" max="5" width="2.7265625" style="24" customWidth="1"/>
    <col min="6" max="10" width="15.6328125" style="8" customWidth="1"/>
    <col min="11" max="11" width="15.6328125" style="21" customWidth="1"/>
    <col min="12" max="23" width="15.6328125" style="8" customWidth="1"/>
    <col min="24" max="16384" width="8.7265625" style="8"/>
  </cols>
  <sheetData>
    <row r="1" spans="1:18" ht="20" customHeight="1" thickBot="1" x14ac:dyDescent="0.45">
      <c r="B1" s="27"/>
      <c r="D1" s="27"/>
      <c r="E1" s="8"/>
      <c r="K1" s="8"/>
    </row>
    <row r="2" spans="1:18" s="5" customFormat="1" ht="25" customHeight="1" thickTop="1" thickBot="1" x14ac:dyDescent="0.45">
      <c r="A2" s="8"/>
      <c r="B2" s="30" t="str">
        <f>_xlfn.CONCAT("總方法數：", COUNTA(使用方法!A:A), "x", COUNTA(使用方法!B:B), " = ", COUNTA(使用方法!A:A)*COUNTA(使用方法!B:B))</f>
        <v>總方法數：4x10 = 40</v>
      </c>
      <c r="C2" s="31"/>
      <c r="D2" s="32" t="s">
        <v>122</v>
      </c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5"/>
      <c r="R2" s="8"/>
    </row>
    <row r="3" spans="1:18" s="7" customFormat="1" ht="20" customHeight="1" thickTop="1" thickBot="1" x14ac:dyDescent="0.45">
      <c r="A3" s="27"/>
      <c r="B3" s="23" t="s">
        <v>0</v>
      </c>
      <c r="D3" s="16" t="s">
        <v>1</v>
      </c>
      <c r="E3" s="23"/>
      <c r="F3" s="7" t="str" cm="1">
        <f t="array" ref="F3:Q3">TRANSPOSE(_xlfn._xlws.FILTER(使用方法!C:C, 使用方法!C:C&lt;&gt;0))</f>
        <v>train_precision</v>
      </c>
      <c r="G3" s="7" t="str">
        <v>train_recall</v>
      </c>
      <c r="H3" s="7" t="str">
        <v>train_f1</v>
      </c>
      <c r="I3" s="7" t="str">
        <v>train_auc</v>
      </c>
      <c r="J3" s="7" t="str">
        <v>train_pr_auc</v>
      </c>
      <c r="K3" s="6" t="str">
        <v>train_accuracy</v>
      </c>
      <c r="L3" s="7" t="str">
        <v>test_precision</v>
      </c>
      <c r="M3" s="7" t="str">
        <v>test_recall</v>
      </c>
      <c r="N3" s="7" t="str">
        <v>test_f1</v>
      </c>
      <c r="O3" s="7" t="str">
        <v>test_auc</v>
      </c>
      <c r="P3" s="7" t="str">
        <v>test_pr_auc</v>
      </c>
      <c r="Q3" s="13" t="str">
        <v>test_accuracy</v>
      </c>
      <c r="R3" s="27"/>
    </row>
    <row r="4" spans="1:18" ht="20" customHeight="1" x14ac:dyDescent="0.4">
      <c r="B4" s="36" t="str" cm="1">
        <f t="array" ref="B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>LogisticRegression</v>
      </c>
      <c r="C4" s="8" t="str">
        <f>IF(B4&lt;&gt;"", B4, C3)</f>
        <v>LogisticRegression</v>
      </c>
      <c r="D4" s="17" t="str" cm="1">
        <f t="array" ref="D4:D43">_xlfn.LET(
    _xlpm.data, _xlfn._xlws.FILTER(使用方法!B:B, 使用方法!B:B&lt;&gt;""),
    _xlpm.n, COUNTA(使用方法!A:A),
    _xlpm.totalRows, ROWS(_xlpm.data) * _xlpm.n,
    _xlpm.seq, _xlfn.SEQUENCE(_xlpm.totalRows, 1, 0, 1),
    INDEX(_xlpm.data, MOD(_xlpm.seq, ROWS(_xlpm.data)) + 1)
)</f>
        <v>Full_Set_Baseline</v>
      </c>
      <c r="F4" s="8" cm="1">
        <f t="array" aca="1" ref="F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4" s="8" cm="1">
        <f t="array" aca="1" ref="G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4" s="8" cm="1">
        <f t="array" aca="1" ref="H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4" s="8" t="str" cm="1">
        <f t="array" aca="1" ref="I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0.8698</v>
      </c>
      <c r="J4" s="8" t="str" cm="1">
        <f t="array" aca="1" ref="J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0.0138</v>
      </c>
      <c r="K4" s="21" cm="1">
        <f t="array" aca="1" ref="K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4" s="8" cm="1">
        <f t="array" aca="1" ref="L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4" s="8" cm="1">
        <f t="array" aca="1" ref="M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4" s="8" cm="1">
        <f t="array" aca="1" ref="N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4" s="8" cm="1">
        <f t="array" aca="1" ref="O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0.86829999999999996</v>
      </c>
      <c r="P4" s="8" cm="1">
        <f t="array" aca="1" ref="P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1.41E-2</v>
      </c>
      <c r="Q4" s="14" cm="1">
        <f t="array" aca="1" ref="Q4" ca="1">_xlfn.LET(
    _xlpm.sheet, $D$2,
    _xlpm.rowMatch, MATCH(
        TRIM($D4)&amp;"|"&amp;TRIM($C4),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5" spans="1:18" ht="20" customHeight="1" x14ac:dyDescent="0.4">
      <c r="B5" s="36" t="str" cm="1">
        <f t="array" ref="B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" s="8" t="str">
        <f t="shared" ref="C5:C63" si="0">IF(B5&lt;&gt;"", B5, C4)</f>
        <v>LogisticRegression</v>
      </c>
      <c r="D5" s="17" t="str">
        <v>Lasso (a=1e-4)</v>
      </c>
      <c r="F5" s="8" cm="1">
        <f t="array" aca="1" ref="F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5" s="8" cm="1">
        <f t="array" aca="1" ref="G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5" s="8" cm="1">
        <f t="array" aca="1" ref="H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5" s="8" t="str" cm="1">
        <f t="array" aca="1" ref="I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0.8736</v>
      </c>
      <c r="J5" s="8" t="str" cm="1">
        <f t="array" aca="1" ref="J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0.0132</v>
      </c>
      <c r="K5" s="21" cm="1">
        <f t="array" aca="1" ref="K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5" s="8" cm="1">
        <f t="array" aca="1" ref="L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5" s="8" cm="1">
        <f t="array" aca="1" ref="M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5" s="8" cm="1">
        <f t="array" aca="1" ref="N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5" s="8" cm="1">
        <f t="array" aca="1" ref="O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0.87290000000000001</v>
      </c>
      <c r="P5" s="8" cm="1">
        <f t="array" aca="1" ref="P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1.35E-2</v>
      </c>
      <c r="Q5" s="14" cm="1">
        <f t="array" aca="1" ref="Q5" ca="1">_xlfn.LET(
    _xlpm.sheet, $D$2,
    _xlpm.rowMatch, MATCH(
        TRIM($D5)&amp;"|"&amp;TRIM($C5),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6" spans="1:18" ht="20" customHeight="1" x14ac:dyDescent="0.4">
      <c r="B6" s="36" t="str" cm="1">
        <f t="array" ref="B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6" s="8" t="str">
        <f t="shared" si="0"/>
        <v>LogisticRegression</v>
      </c>
      <c r="D6" s="17" t="str">
        <v>Lasso (a=1e-5)</v>
      </c>
      <c r="F6" s="8" cm="1">
        <f t="array" aca="1" ref="F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6" s="8" cm="1">
        <f t="array" aca="1" ref="G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6" s="8" cm="1">
        <f t="array" aca="1" ref="H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6" s="8" t="str" cm="1">
        <f t="array" aca="1" ref="I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0.8891</v>
      </c>
      <c r="J6" s="8" t="str" cm="1">
        <f t="array" aca="1" ref="J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0.0167</v>
      </c>
      <c r="K6" s="21" cm="1">
        <f t="array" aca="1" ref="K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6" s="8" cm="1">
        <f t="array" aca="1" ref="L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6" s="8" cm="1">
        <f t="array" aca="1" ref="M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6" s="8" cm="1">
        <f t="array" aca="1" ref="N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6" s="8" cm="1">
        <f t="array" aca="1" ref="O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0.88839999999999997</v>
      </c>
      <c r="P6" s="8" cm="1">
        <f t="array" aca="1" ref="P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1.7399999999999999E-2</v>
      </c>
      <c r="Q6" s="14" cm="1">
        <f t="array" aca="1" ref="Q6" ca="1">_xlfn.LET(
    _xlpm.sheet, $D$2,
    _xlpm.rowMatch, MATCH(
        TRIM($D6)&amp;"|"&amp;TRIM($C6),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7" spans="1:18" ht="20" customHeight="1" x14ac:dyDescent="0.4">
      <c r="B7" s="36" t="str" cm="1">
        <f t="array" ref="B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7" s="8" t="str">
        <f t="shared" si="0"/>
        <v>LogisticRegression</v>
      </c>
      <c r="D7" s="17" t="str">
        <v>Lasso (a=1e-6)</v>
      </c>
      <c r="F7" s="8" cm="1">
        <f t="array" aca="1" ref="F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7" s="8" cm="1">
        <f t="array" aca="1" ref="G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7" s="8" cm="1">
        <f t="array" aca="1" ref="H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7" s="8" t="str" cm="1">
        <f t="array" aca="1" ref="I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0.8870</v>
      </c>
      <c r="J7" s="8" t="str" cm="1">
        <f t="array" aca="1" ref="J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0.0168</v>
      </c>
      <c r="K7" s="21" cm="1">
        <f t="array" aca="1" ref="K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7" s="8" cm="1">
        <f t="array" aca="1" ref="L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7" s="8" cm="1">
        <f t="array" aca="1" ref="M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7" s="8" cm="1">
        <f t="array" aca="1" ref="N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7" s="8" cm="1">
        <f t="array" aca="1" ref="O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0.8861</v>
      </c>
      <c r="P7" s="8" cm="1">
        <f t="array" aca="1" ref="P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1.7000000000000001E-2</v>
      </c>
      <c r="Q7" s="14" cm="1">
        <f t="array" aca="1" ref="Q7" ca="1">_xlfn.LET(
    _xlpm.sheet, $D$2,
    _xlpm.rowMatch, MATCH(
        TRIM($D7)&amp;"|"&amp;TRIM($C7),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8" spans="1:18" ht="20" customHeight="1" x14ac:dyDescent="0.4">
      <c r="B8" s="36" t="str" cm="1">
        <f t="array" ref="B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8" s="8" t="str">
        <f t="shared" si="0"/>
        <v>LogisticRegression</v>
      </c>
      <c r="D8" s="17" t="str">
        <v>Ridge (a=1e2)</v>
      </c>
      <c r="F8" s="8" cm="1">
        <f t="array" aca="1" ref="F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8" s="8" cm="1">
        <f t="array" aca="1" ref="G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8" s="8" cm="1">
        <f t="array" aca="1" ref="H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8" s="8" t="str" cm="1">
        <f t="array" aca="1" ref="I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0.8650</v>
      </c>
      <c r="J8" s="8" t="str" cm="1">
        <f t="array" aca="1" ref="J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0.0132</v>
      </c>
      <c r="K8" s="21" cm="1">
        <f t="array" aca="1" ref="K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8" s="8" cm="1">
        <f t="array" aca="1" ref="L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8" s="8" cm="1">
        <f t="array" aca="1" ref="M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8" s="8" cm="1">
        <f t="array" aca="1" ref="N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8" s="8" cm="1">
        <f t="array" aca="1" ref="O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0.86409999999999998</v>
      </c>
      <c r="P8" s="8" cm="1">
        <f t="array" aca="1" ref="P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1.3299999999999999E-2</v>
      </c>
      <c r="Q8" s="14" cm="1">
        <f t="array" aca="1" ref="Q8" ca="1">_xlfn.LET(
    _xlpm.sheet, $D$2,
    _xlpm.rowMatch, MATCH(
        TRIM($D8)&amp;"|"&amp;TRIM($C8),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9" spans="1:18" ht="20" customHeight="1" x14ac:dyDescent="0.4">
      <c r="B9" s="36" t="str" cm="1">
        <f t="array" ref="B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9" s="8" t="str">
        <f t="shared" si="0"/>
        <v>LogisticRegression</v>
      </c>
      <c r="D9" s="17" t="str">
        <v>Ridge (a=1e3)</v>
      </c>
      <c r="F9" s="8" cm="1">
        <f t="array" aca="1" ref="F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9" s="8" cm="1">
        <f t="array" aca="1" ref="G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9" s="8" cm="1">
        <f t="array" aca="1" ref="H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9" s="8" t="str" cm="1">
        <f t="array" aca="1" ref="I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0.8650</v>
      </c>
      <c r="J9" s="8" t="str" cm="1">
        <f t="array" aca="1" ref="J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0.0132</v>
      </c>
      <c r="K9" s="21" cm="1">
        <f t="array" aca="1" ref="K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9" s="8" cm="1">
        <f t="array" aca="1" ref="L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9" s="8" cm="1">
        <f t="array" aca="1" ref="M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9" s="8" cm="1">
        <f t="array" aca="1" ref="N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9" s="8" cm="1">
        <f t="array" aca="1" ref="O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0.86409999999999998</v>
      </c>
      <c r="P9" s="8" cm="1">
        <f t="array" aca="1" ref="P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1.3299999999999999E-2</v>
      </c>
      <c r="Q9" s="14" cm="1">
        <f t="array" aca="1" ref="Q9" ca="1">_xlfn.LET(
    _xlpm.sheet, $D$2,
    _xlpm.rowMatch, MATCH(
        TRIM($D9)&amp;"|"&amp;TRIM($C9),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10" spans="1:18" ht="20" customHeight="1" x14ac:dyDescent="0.4">
      <c r="B10" s="36" t="str" cm="1">
        <f t="array" ref="B1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0" s="8" t="str">
        <f t="shared" si="0"/>
        <v>LogisticRegression</v>
      </c>
      <c r="D10" s="17" t="str">
        <v>Ridge (a=1e4)</v>
      </c>
      <c r="F10" s="8" cm="1">
        <f t="array" aca="1" ref="F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10" s="8" cm="1">
        <f t="array" aca="1" ref="G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10" s="8" cm="1">
        <f t="array" aca="1" ref="H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10" s="8" t="str" cm="1">
        <f t="array" aca="1" ref="I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0.8897</v>
      </c>
      <c r="J10" s="8" t="str" cm="1">
        <f t="array" aca="1" ref="J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0.0179</v>
      </c>
      <c r="K10" s="21" cm="1">
        <f t="array" aca="1" ref="K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10" s="8" cm="1">
        <f t="array" aca="1" ref="L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10" s="8" cm="1">
        <f t="array" aca="1" ref="M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10" s="8" cm="1">
        <f t="array" aca="1" ref="N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10" s="8" cm="1">
        <f t="array" aca="1" ref="O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0.88859999999999995</v>
      </c>
      <c r="P10" s="8" cm="1">
        <f t="array" aca="1" ref="P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1.8200000000000001E-2</v>
      </c>
      <c r="Q10" s="14" cm="1">
        <f t="array" aca="1" ref="Q10" ca="1">_xlfn.LET(
    _xlpm.sheet, $D$2,
    _xlpm.rowMatch, MATCH(
        TRIM($D10)&amp;"|"&amp;TRIM($C10),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11" spans="1:18" ht="20" customHeight="1" x14ac:dyDescent="0.4">
      <c r="B11" s="36" t="str" cm="1">
        <f t="array" ref="B1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1" s="8" t="str">
        <f t="shared" si="0"/>
        <v>LogisticRegression</v>
      </c>
      <c r="D11" s="17" t="str">
        <v>Ridge (a=1e5)</v>
      </c>
      <c r="F11" s="8" cm="1">
        <f t="array" aca="1" ref="F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11" s="8" cm="1">
        <f t="array" aca="1" ref="G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11" s="8" cm="1">
        <f t="array" aca="1" ref="H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11" s="8" t="str" cm="1">
        <f t="array" aca="1" ref="I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0.8893</v>
      </c>
      <c r="J11" s="8" t="str" cm="1">
        <f t="array" aca="1" ref="J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0.0183</v>
      </c>
      <c r="K11" s="21" cm="1">
        <f t="array" aca="1" ref="K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11" s="8" cm="1">
        <f t="array" aca="1" ref="L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11" s="8" cm="1">
        <f t="array" aca="1" ref="M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11" s="8" cm="1">
        <f t="array" aca="1" ref="N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11" s="8" cm="1">
        <f t="array" aca="1" ref="O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0.88870000000000005</v>
      </c>
      <c r="P11" s="8" cm="1">
        <f t="array" aca="1" ref="P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1.8700000000000001E-2</v>
      </c>
      <c r="Q11" s="14" cm="1">
        <f t="array" aca="1" ref="Q11" ca="1">_xlfn.LET(
    _xlpm.sheet, $D$2,
    _xlpm.rowMatch, MATCH(
        TRIM($D11)&amp;"|"&amp;TRIM($C11),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12" spans="1:18" ht="20" customHeight="1" x14ac:dyDescent="0.4">
      <c r="B12" s="36" t="str" cm="1">
        <f t="array" ref="B1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2" s="8" t="str">
        <f t="shared" si="0"/>
        <v>LogisticRegression</v>
      </c>
      <c r="D12" s="17" t="str">
        <v>Ridge (a=1e6)</v>
      </c>
      <c r="F12" s="8" cm="1">
        <f t="array" aca="1" ref="F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12" s="8" cm="1">
        <f t="array" aca="1" ref="G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12" s="8" cm="1">
        <f t="array" aca="1" ref="H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12" s="8" t="str" cm="1">
        <f t="array" aca="1" ref="I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0.8767</v>
      </c>
      <c r="J12" s="8" t="str" cm="1">
        <f t="array" aca="1" ref="J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0.0164</v>
      </c>
      <c r="K12" s="21" cm="1">
        <f t="array" aca="1" ref="K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12" s="8" cm="1">
        <f t="array" aca="1" ref="L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12" s="8" cm="1">
        <f t="array" aca="1" ref="M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12" s="8" cm="1">
        <f t="array" aca="1" ref="N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12" s="8" cm="1">
        <f t="array" aca="1" ref="O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0.87629999999999997</v>
      </c>
      <c r="P12" s="8" cm="1">
        <f t="array" aca="1" ref="P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1.6500000000000001E-2</v>
      </c>
      <c r="Q12" s="14" cm="1">
        <f t="array" aca="1" ref="Q12" ca="1">_xlfn.LET(
    _xlpm.sheet, $D$2,
    _xlpm.rowMatch, MATCH(
        TRIM($D12)&amp;"|"&amp;TRIM($C12),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13" spans="1:18" ht="20" customHeight="1" thickBot="1" x14ac:dyDescent="0.45">
      <c r="B13" s="37" t="str" cm="1">
        <f t="array" ref="B1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" s="9" t="str">
        <f t="shared" si="0"/>
        <v>LogisticRegression</v>
      </c>
      <c r="D13" s="29" t="str">
        <v>XGBoost_Top10</v>
      </c>
      <c r="E13" s="25"/>
      <c r="F13" s="42" cm="1">
        <f t="array" aca="1" ref="F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13" s="9" cm="1">
        <f t="array" aca="1" ref="G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13" s="9" cm="1">
        <f t="array" aca="1" ref="H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13" s="9" t="str" cm="1">
        <f t="array" aca="1" ref="I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0.8763</v>
      </c>
      <c r="J13" s="9" t="str" cm="1">
        <f t="array" aca="1" ref="J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0.0081</v>
      </c>
      <c r="K13" s="26" cm="1">
        <f t="array" aca="1" ref="K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13" s="9" cm="1">
        <f t="array" aca="1" ref="L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13" s="9" cm="1">
        <f t="array" aca="1" ref="M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13" s="9" cm="1">
        <f t="array" aca="1" ref="N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13" s="9" cm="1">
        <f t="array" aca="1" ref="O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0.87490000000000001</v>
      </c>
      <c r="P13" s="9" cm="1">
        <f t="array" aca="1" ref="P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8.0999999999999996E-3</v>
      </c>
      <c r="Q13" s="15" cm="1">
        <f t="array" aca="1" ref="Q13" ca="1">_xlfn.LET(
    _xlpm.sheet, $D$2,
    _xlpm.rowMatch, MATCH(
        TRIM($D13)&amp;"|"&amp;TRIM($C13),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14" spans="1:18" ht="20" customHeight="1" x14ac:dyDescent="0.4">
      <c r="B14" s="36" t="str" cm="1">
        <f t="array" ref="B1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>LDA</v>
      </c>
      <c r="C14" s="8" t="str">
        <f t="shared" si="0"/>
        <v>LDA</v>
      </c>
      <c r="D14" s="28" t="str">
        <v>Full_Set_Baseline</v>
      </c>
      <c r="F14" s="8" t="str" cm="1">
        <f t="array" aca="1" ref="F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/>
      </c>
      <c r="G14" s="8" t="str" cm="1">
        <f t="array" aca="1" ref="G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/>
      </c>
      <c r="H14" s="8" t="str" cm="1">
        <f t="array" aca="1" ref="H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/>
      </c>
      <c r="I14" s="8" t="str" cm="1">
        <f t="array" aca="1" ref="I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/>
      </c>
      <c r="J14" s="8" t="str" cm="1">
        <f t="array" aca="1" ref="J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/>
      </c>
      <c r="K14" s="21" t="str" cm="1">
        <f t="array" aca="1" ref="K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/>
      </c>
      <c r="L14" s="8" t="str" cm="1">
        <f t="array" aca="1" ref="L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/>
      </c>
      <c r="M14" s="8" t="str" cm="1">
        <f t="array" aca="1" ref="M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/>
      </c>
      <c r="N14" s="8" t="str" cm="1">
        <f t="array" aca="1" ref="N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/>
      </c>
      <c r="O14" s="8" t="str" cm="1">
        <f t="array" aca="1" ref="O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/>
      </c>
      <c r="P14" s="8" t="str" cm="1">
        <f t="array" aca="1" ref="P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/>
      </c>
      <c r="Q14" s="14" t="str" cm="1">
        <f t="array" aca="1" ref="Q14" ca="1">_xlfn.LET(
    _xlpm.sheet, $D$2,
    _xlpm.rowMatch, MATCH(
        TRIM($D14)&amp;"|"&amp;TRIM($C14),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/>
      </c>
    </row>
    <row r="15" spans="1:18" ht="20" customHeight="1" x14ac:dyDescent="0.4">
      <c r="B15" s="36" t="str" cm="1">
        <f t="array" ref="B1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" s="8" t="str">
        <f t="shared" si="0"/>
        <v>LDA</v>
      </c>
      <c r="D15" s="28" t="str">
        <v>Lasso (a=1e-4)</v>
      </c>
      <c r="F15" s="8" cm="1">
        <f t="array" aca="1" ref="F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15" s="8" cm="1">
        <f t="array" aca="1" ref="G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15" s="8" cm="1">
        <f t="array" aca="1" ref="H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15" s="8" t="str" cm="1">
        <f t="array" aca="1" ref="I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0.8682</v>
      </c>
      <c r="J15" s="8" t="str" cm="1">
        <f t="array" aca="1" ref="J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0.0129</v>
      </c>
      <c r="K15" s="21" cm="1">
        <f t="array" aca="1" ref="K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15" s="8" cm="1">
        <f t="array" aca="1" ref="L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15" s="8" cm="1">
        <f t="array" aca="1" ref="M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15" s="8" cm="1">
        <f t="array" aca="1" ref="N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15" s="8" cm="1">
        <f t="array" aca="1" ref="O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0.86739999999999995</v>
      </c>
      <c r="P15" s="8" cm="1">
        <f t="array" aca="1" ref="P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1.3299999999999999E-2</v>
      </c>
      <c r="Q15" s="14" cm="1">
        <f t="array" aca="1" ref="Q15" ca="1">_xlfn.LET(
    _xlpm.sheet, $D$2,
    _xlpm.rowMatch, MATCH(
        TRIM($D15)&amp;"|"&amp;TRIM($C15),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</row>
    <row r="16" spans="1:18" ht="20" customHeight="1" x14ac:dyDescent="0.4">
      <c r="B16" s="36" t="str" cm="1">
        <f t="array" ref="B1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" s="8" t="str">
        <f t="shared" si="0"/>
        <v>LDA</v>
      </c>
      <c r="D16" s="17" t="str">
        <v>Lasso (a=1e-5)</v>
      </c>
      <c r="F16" s="8" cm="1">
        <f t="array" aca="1" ref="F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4.3799999999999999E-2</v>
      </c>
      <c r="G16" s="8" cm="1">
        <f t="array" aca="1" ref="G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0.1278</v>
      </c>
      <c r="H16" s="8" cm="1">
        <f t="array" aca="1" ref="H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6.5199999999999994E-2</v>
      </c>
      <c r="I16" s="8" t="str" cm="1">
        <f t="array" aca="1" ref="I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0.8706</v>
      </c>
      <c r="J16" s="8" t="str" cm="1">
        <f t="array" aca="1" ref="J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0.0247</v>
      </c>
      <c r="K16" s="21" cm="1">
        <f t="array" aca="1" ref="K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0.99450000000000005</v>
      </c>
      <c r="L16" s="8" cm="1">
        <f t="array" aca="1" ref="L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4.2700000000000002E-2</v>
      </c>
      <c r="M16" s="8" cm="1">
        <f t="array" aca="1" ref="M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0.124</v>
      </c>
      <c r="N16" s="8" cm="1">
        <f t="array" aca="1" ref="N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6.3500000000000001E-2</v>
      </c>
      <c r="O16" s="8" cm="1">
        <f t="array" aca="1" ref="O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0.86839999999999995</v>
      </c>
      <c r="P16" s="8" cm="1">
        <f t="array" aca="1" ref="P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2.2599999999999999E-2</v>
      </c>
      <c r="Q16" s="14" cm="1">
        <f t="array" aca="1" ref="Q16" ca="1">_xlfn.LET(
    _xlpm.sheet, $D$2,
    _xlpm.rowMatch, MATCH(
        TRIM($D16)&amp;"|"&amp;TRIM($C16),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0.99450000000000005</v>
      </c>
    </row>
    <row r="17" spans="1:18" ht="20" customHeight="1" x14ac:dyDescent="0.4">
      <c r="B17" s="36" t="str" cm="1">
        <f t="array" ref="B1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" s="8" t="str">
        <f t="shared" si="0"/>
        <v>LDA</v>
      </c>
      <c r="D17" s="17" t="str">
        <v>Lasso (a=1e-6)</v>
      </c>
      <c r="F17" s="8" cm="1">
        <f t="array" aca="1" ref="F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5.0700000000000002E-2</v>
      </c>
      <c r="G17" s="8" cm="1">
        <f t="array" aca="1" ref="G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0.14360000000000001</v>
      </c>
      <c r="H17" s="8" cm="1">
        <f t="array" aca="1" ref="H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7.4899999999999994E-2</v>
      </c>
      <c r="I17" s="8" t="str" cm="1">
        <f t="array" aca="1" ref="I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0.8666</v>
      </c>
      <c r="J17" s="8" t="str" cm="1">
        <f t="array" aca="1" ref="J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0.0270</v>
      </c>
      <c r="K17" s="21" cm="1">
        <f t="array" aca="1" ref="K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0.99470000000000003</v>
      </c>
      <c r="L17" s="8" cm="1">
        <f t="array" aca="1" ref="L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5.0200000000000002E-2</v>
      </c>
      <c r="M17" s="8" cm="1">
        <f t="array" aca="1" ref="M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0.14099999999999999</v>
      </c>
      <c r="N17" s="8" cm="1">
        <f t="array" aca="1" ref="N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7.4099999999999999E-2</v>
      </c>
      <c r="O17" s="8" cm="1">
        <f t="array" aca="1" ref="O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0.86180000000000001</v>
      </c>
      <c r="P17" s="8" cm="1">
        <f t="array" aca="1" ref="P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2.4899999999999999E-2</v>
      </c>
      <c r="Q17" s="14" cm="1">
        <f t="array" aca="1" ref="Q17" ca="1">_xlfn.LET(
    _xlpm.sheet, $D$2,
    _xlpm.rowMatch, MATCH(
        TRIM($D17)&amp;"|"&amp;TRIM($C17),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0.99470000000000003</v>
      </c>
    </row>
    <row r="18" spans="1:18" s="10" customFormat="1" ht="20" customHeight="1" x14ac:dyDescent="0.4">
      <c r="A18" s="8"/>
      <c r="B18" s="36" t="str" cm="1">
        <f t="array" ref="B1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" s="8" t="str">
        <f t="shared" si="0"/>
        <v>LDA</v>
      </c>
      <c r="D18" s="17" t="str">
        <v>Ridge (a=1e2)</v>
      </c>
      <c r="E18" s="24"/>
      <c r="F18" s="8" cm="1">
        <f t="array" aca="1" ref="F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4.99E-2</v>
      </c>
      <c r="G18" s="8" cm="1">
        <f t="array" aca="1" ref="G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0.14050000000000001</v>
      </c>
      <c r="H18" s="8" cm="1">
        <f t="array" aca="1" ref="H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7.3599999999999999E-2</v>
      </c>
      <c r="I18" s="8" t="str" cm="1">
        <f t="array" aca="1" ref="I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0.8683</v>
      </c>
      <c r="J18" s="8" t="str" cm="1">
        <f t="array" aca="1" ref="J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0.0268</v>
      </c>
      <c r="K18" s="21" cm="1">
        <f t="array" aca="1" ref="K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0.99470000000000003</v>
      </c>
      <c r="L18" s="8" cm="1">
        <f t="array" aca="1" ref="L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4.9099999999999998E-2</v>
      </c>
      <c r="M18" s="8" cm="1">
        <f t="array" aca="1" ref="M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0.13730000000000001</v>
      </c>
      <c r="N18" s="8" cm="1">
        <f t="array" aca="1" ref="N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7.2300000000000003E-2</v>
      </c>
      <c r="O18" s="8" cm="1">
        <f t="array" aca="1" ref="O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0.8629</v>
      </c>
      <c r="P18" s="8" cm="1">
        <f t="array" aca="1" ref="P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2.47E-2</v>
      </c>
      <c r="Q18" s="14" cm="1">
        <f t="array" aca="1" ref="Q18" ca="1">_xlfn.LET(
    _xlpm.sheet, $D$2,
    _xlpm.rowMatch, MATCH(
        TRIM($D18)&amp;"|"&amp;TRIM($C18),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0.99470000000000003</v>
      </c>
      <c r="R18" s="8"/>
    </row>
    <row r="19" spans="1:18" ht="20" customHeight="1" x14ac:dyDescent="0.4">
      <c r="B19" s="36" t="str" cm="1">
        <f t="array" ref="B1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" s="8" t="str">
        <f t="shared" si="0"/>
        <v>LDA</v>
      </c>
      <c r="D19" s="17" t="str">
        <v>Ridge (a=1e3)</v>
      </c>
      <c r="F19" s="8" cm="1">
        <f t="array" aca="1" ref="F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4.99E-2</v>
      </c>
      <c r="G19" s="8" cm="1">
        <f t="array" aca="1" ref="G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0.14050000000000001</v>
      </c>
      <c r="H19" s="8" cm="1">
        <f t="array" aca="1" ref="H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7.3599999999999999E-2</v>
      </c>
      <c r="I19" s="8" t="str" cm="1">
        <f t="array" aca="1" ref="I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0.8683</v>
      </c>
      <c r="J19" s="8" t="str" cm="1">
        <f t="array" aca="1" ref="J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0.0268</v>
      </c>
      <c r="K19" s="21" cm="1">
        <f t="array" aca="1" ref="K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0.99470000000000003</v>
      </c>
      <c r="L19" s="8" cm="1">
        <f t="array" aca="1" ref="L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4.9099999999999998E-2</v>
      </c>
      <c r="M19" s="8" cm="1">
        <f t="array" aca="1" ref="M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0.13730000000000001</v>
      </c>
      <c r="N19" s="8" cm="1">
        <f t="array" aca="1" ref="N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7.2300000000000003E-2</v>
      </c>
      <c r="O19" s="8" cm="1">
        <f t="array" aca="1" ref="O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0.8629</v>
      </c>
      <c r="P19" s="8" cm="1">
        <f t="array" aca="1" ref="P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2.47E-2</v>
      </c>
      <c r="Q19" s="14" cm="1">
        <f t="array" aca="1" ref="Q19" ca="1">_xlfn.LET(
    _xlpm.sheet, $D$2,
    _xlpm.rowMatch, MATCH(
        TRIM($D19)&amp;"|"&amp;TRIM($C19),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0.99470000000000003</v>
      </c>
    </row>
    <row r="20" spans="1:18" ht="20" customHeight="1" x14ac:dyDescent="0.4">
      <c r="B20" s="36" t="str" cm="1">
        <f t="array" ref="B2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" s="8" t="str">
        <f t="shared" si="0"/>
        <v>LDA</v>
      </c>
      <c r="D20" s="17" t="str">
        <v>Ridge (a=1e4)</v>
      </c>
      <c r="F20" s="8" cm="1">
        <f t="array" aca="1" ref="F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5.04E-2</v>
      </c>
      <c r="G20" s="8" cm="1">
        <f t="array" aca="1" ref="G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0.1421</v>
      </c>
      <c r="H20" s="8" cm="1">
        <f t="array" aca="1" ref="H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7.4399999999999994E-2</v>
      </c>
      <c r="I20" s="8" t="str" cm="1">
        <f t="array" aca="1" ref="I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0.8674</v>
      </c>
      <c r="J20" s="8" t="str" cm="1">
        <f t="array" aca="1" ref="J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0.0267</v>
      </c>
      <c r="K20" s="21" cm="1">
        <f t="array" aca="1" ref="K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0.99470000000000003</v>
      </c>
      <c r="L20" s="8" cm="1">
        <f t="array" aca="1" ref="L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4.9500000000000002E-2</v>
      </c>
      <c r="M20" s="8" cm="1">
        <f t="array" aca="1" ref="M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0.13900000000000001</v>
      </c>
      <c r="N20" s="8" cm="1">
        <f t="array" aca="1" ref="N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7.2999999999999995E-2</v>
      </c>
      <c r="O20" s="8" cm="1">
        <f t="array" aca="1" ref="O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0.8619</v>
      </c>
      <c r="P20" s="8" cm="1">
        <f t="array" aca="1" ref="P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2.46E-2</v>
      </c>
      <c r="Q20" s="14" cm="1">
        <f t="array" aca="1" ref="Q20" ca="1">_xlfn.LET(
    _xlpm.sheet, $D$2,
    _xlpm.rowMatch, MATCH(
        TRIM($D20)&amp;"|"&amp;TRIM($C20),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0.99470000000000003</v>
      </c>
    </row>
    <row r="21" spans="1:18" ht="20" customHeight="1" x14ac:dyDescent="0.4">
      <c r="B21" s="36" t="str" cm="1">
        <f t="array" ref="B2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" s="8" t="str">
        <f t="shared" si="0"/>
        <v>LDA</v>
      </c>
      <c r="D21" s="17" t="str">
        <v>Ridge (a=1e5)</v>
      </c>
      <c r="F21" s="8" cm="1">
        <f t="array" aca="1" ref="F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5.0299999999999997E-2</v>
      </c>
      <c r="G21" s="8" cm="1">
        <f t="array" aca="1" ref="G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0.14119999999999999</v>
      </c>
      <c r="H21" s="8" cm="1">
        <f t="array" aca="1" ref="H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7.4099999999999999E-2</v>
      </c>
      <c r="I21" s="8" t="str" cm="1">
        <f t="array" aca="1" ref="I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0.8685</v>
      </c>
      <c r="J21" s="8" t="str" cm="1">
        <f t="array" aca="1" ref="J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0.0268</v>
      </c>
      <c r="K21" s="21" cm="1">
        <f t="array" aca="1" ref="K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0.99470000000000003</v>
      </c>
      <c r="L21" s="8" cm="1">
        <f t="array" aca="1" ref="L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4.9500000000000002E-2</v>
      </c>
      <c r="M21" s="8" cm="1">
        <f t="array" aca="1" ref="M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0.13800000000000001</v>
      </c>
      <c r="N21" s="8" cm="1">
        <f t="array" aca="1" ref="N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7.2800000000000004E-2</v>
      </c>
      <c r="O21" s="8" cm="1">
        <f t="array" aca="1" ref="O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0.8629</v>
      </c>
      <c r="P21" s="8" cm="1">
        <f t="array" aca="1" ref="P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2.47E-2</v>
      </c>
      <c r="Q21" s="14" cm="1">
        <f t="array" aca="1" ref="Q21" ca="1">_xlfn.LET(
    _xlpm.sheet, $D$2,
    _xlpm.rowMatch, MATCH(
        TRIM($D21)&amp;"|"&amp;TRIM($C21),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0.99470000000000003</v>
      </c>
    </row>
    <row r="22" spans="1:18" ht="20" customHeight="1" x14ac:dyDescent="0.4">
      <c r="B22" s="36" t="str" cm="1">
        <f t="array" ref="B2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" s="8" t="str">
        <f t="shared" si="0"/>
        <v>LDA</v>
      </c>
      <c r="D22" s="17" t="str">
        <v>Ridge (a=1e6)</v>
      </c>
      <c r="F22" s="8" cm="1">
        <f t="array" aca="1" ref="F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4.2799999999999998E-2</v>
      </c>
      <c r="G22" s="8" cm="1">
        <f t="array" aca="1" ref="G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0.12470000000000001</v>
      </c>
      <c r="H22" s="8" cm="1">
        <f t="array" aca="1" ref="H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6.3799999999999996E-2</v>
      </c>
      <c r="I22" s="8" t="str" cm="1">
        <f t="array" aca="1" ref="I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0.8702</v>
      </c>
      <c r="J22" s="8" t="str" cm="1">
        <f t="array" aca="1" ref="J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0.0244</v>
      </c>
      <c r="K22" s="21" cm="1">
        <f t="array" aca="1" ref="K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0.99450000000000005</v>
      </c>
      <c r="L22" s="8" cm="1">
        <f t="array" aca="1" ref="L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4.2000000000000003E-2</v>
      </c>
      <c r="M22" s="8" cm="1">
        <f t="array" aca="1" ref="M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0.1217</v>
      </c>
      <c r="N22" s="8" cm="1">
        <f t="array" aca="1" ref="N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6.25E-2</v>
      </c>
      <c r="O22" s="8" cm="1">
        <f t="array" aca="1" ref="O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0.86809999999999998</v>
      </c>
      <c r="P22" s="8" cm="1">
        <f t="array" aca="1" ref="P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2.24E-2</v>
      </c>
      <c r="Q22" s="14" cm="1">
        <f t="array" aca="1" ref="Q22" ca="1">_xlfn.LET(
    _xlpm.sheet, $D$2,
    _xlpm.rowMatch, MATCH(
        TRIM($D22)&amp;"|"&amp;TRIM($C22),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0.99450000000000005</v>
      </c>
    </row>
    <row r="23" spans="1:18" s="9" customFormat="1" ht="20" customHeight="1" thickBot="1" x14ac:dyDescent="0.45">
      <c r="A23" s="8"/>
      <c r="B23" s="37" t="str" cm="1">
        <f t="array" ref="B2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" s="9" t="str">
        <f t="shared" si="0"/>
        <v>LDA</v>
      </c>
      <c r="D23" s="18" t="str">
        <v>XGBoost_Top10</v>
      </c>
      <c r="E23" s="25"/>
      <c r="F23" s="42" cm="1">
        <f t="array" aca="1" ref="F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4.53E-2</v>
      </c>
      <c r="G23" s="9" cm="1">
        <f t="array" aca="1" ref="G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0.1234</v>
      </c>
      <c r="H23" s="9" cm="1">
        <f t="array" aca="1" ref="H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6.6299999999999998E-2</v>
      </c>
      <c r="I23" s="9" t="str" cm="1">
        <f t="array" aca="1" ref="I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0.8553</v>
      </c>
      <c r="J23" s="9" t="str" cm="1">
        <f t="array" aca="1" ref="J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0.0232</v>
      </c>
      <c r="K23" s="26" cm="1">
        <f t="array" aca="1" ref="K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0.99480000000000002</v>
      </c>
      <c r="L23" s="9" cm="1">
        <f t="array" aca="1" ref="L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4.3299999999999998E-2</v>
      </c>
      <c r="M23" s="9" cm="1">
        <f t="array" aca="1" ref="M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0.1163</v>
      </c>
      <c r="N23" s="9" cm="1">
        <f t="array" aca="1" ref="N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6.3100000000000003E-2</v>
      </c>
      <c r="O23" s="9" cm="1">
        <f t="array" aca="1" ref="O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0.84989999999999999</v>
      </c>
      <c r="P23" s="9" cm="1">
        <f t="array" aca="1" ref="P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2.1100000000000001E-2</v>
      </c>
      <c r="Q23" s="15" cm="1">
        <f t="array" aca="1" ref="Q23" ca="1">_xlfn.LET(
    _xlpm.sheet, $D$2,
    _xlpm.rowMatch, MATCH(
        TRIM($D23)&amp;"|"&amp;TRIM($C23),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0.99480000000000002</v>
      </c>
      <c r="R23" s="8"/>
    </row>
    <row r="24" spans="1:18" ht="20" customHeight="1" x14ac:dyDescent="0.4">
      <c r="B24" s="36" t="str" cm="1">
        <f t="array" ref="B2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>QDA</v>
      </c>
      <c r="C24" s="8" t="str">
        <f t="shared" si="0"/>
        <v>QDA</v>
      </c>
      <c r="D24" s="17" t="str">
        <v>Full_Set_Baseline</v>
      </c>
      <c r="F24" s="8" cm="1">
        <f t="array" aca="1" ref="F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3.8999999999999998E-3</v>
      </c>
      <c r="G24" s="8" cm="1">
        <f t="array" aca="1" ref="G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0.70599999999999996</v>
      </c>
      <c r="H24" s="8" cm="1">
        <f t="array" aca="1" ref="H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7.7000000000000002E-3</v>
      </c>
      <c r="I24" s="8" t="str" cm="1">
        <f t="array" aca="1" ref="I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nan</v>
      </c>
      <c r="J24" s="8" t="str" cm="1">
        <f t="array" aca="1" ref="J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nan</v>
      </c>
      <c r="K24" s="21" cm="1">
        <f t="array" aca="1" ref="K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0.78059999999999996</v>
      </c>
      <c r="L24" s="8" cm="1">
        <f t="array" aca="1" ref="L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6.1999999999999998E-3</v>
      </c>
      <c r="M24" s="8" cm="1">
        <f t="array" aca="1" ref="M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0.79869999999999997</v>
      </c>
      <c r="N24" s="8" cm="1">
        <f t="array" aca="1" ref="N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1.2200000000000001E-2</v>
      </c>
      <c r="O24" s="8" cm="1">
        <f t="array" aca="1" ref="O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0.86309999999999998</v>
      </c>
      <c r="P24" s="8" cm="1">
        <f t="array" aca="1" ref="P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1.95E-2</v>
      </c>
      <c r="Q24" s="14" cm="1">
        <f t="array" aca="1" ref="Q24" ca="1">_xlfn.LET(
    _xlpm.sheet, $D$2,
    _xlpm.rowMatch, MATCH(
        TRIM($D24)&amp;"|"&amp;TRIM($C24),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0.80669999999999997</v>
      </c>
    </row>
    <row r="25" spans="1:18" s="9" customFormat="1" ht="20" customHeight="1" thickBot="1" x14ac:dyDescent="0.45">
      <c r="A25" s="8"/>
      <c r="B25" s="36" t="str" cm="1">
        <f t="array" ref="B2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5" s="9" t="str">
        <f t="shared" si="0"/>
        <v>QDA</v>
      </c>
      <c r="D25" s="28" t="str">
        <v>Lasso (a=1e-4)</v>
      </c>
      <c r="E25" s="24"/>
      <c r="F25" s="8" cm="1">
        <f t="array" aca="1" ref="F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</v>
      </c>
      <c r="G25" s="8" cm="1">
        <f t="array" aca="1" ref="G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</v>
      </c>
      <c r="H25" s="8" cm="1">
        <f t="array" aca="1" ref="H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</v>
      </c>
      <c r="I25" s="8" t="str" cm="1">
        <f t="array" aca="1" ref="I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0.8694</v>
      </c>
      <c r="J25" s="8" t="str" cm="1">
        <f t="array" aca="1" ref="J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0.0129</v>
      </c>
      <c r="K25" s="21" cm="1">
        <f t="array" aca="1" ref="K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0.99850000000000005</v>
      </c>
      <c r="L25" s="8" cm="1">
        <f t="array" aca="1" ref="L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25" s="8" cm="1">
        <f t="array" aca="1" ref="M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25" s="8" cm="1">
        <f t="array" aca="1" ref="N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25" s="8" cm="1">
        <f t="array" aca="1" ref="O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0.8669</v>
      </c>
      <c r="P25" s="8" cm="1">
        <f t="array" aca="1" ref="P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1.34E-2</v>
      </c>
      <c r="Q25" s="14" cm="1">
        <f t="array" aca="1" ref="Q25" ca="1">_xlfn.LET(
    _xlpm.sheet, $D$2,
    _xlpm.rowMatch, MATCH(
        TRIM($D25)&amp;"|"&amp;TRIM($C25),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0.99850000000000005</v>
      </c>
      <c r="R25" s="8"/>
    </row>
    <row r="26" spans="1:18" ht="20" customHeight="1" x14ac:dyDescent="0.4">
      <c r="B26" s="36" t="str" cm="1">
        <f t="array" ref="B2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6" s="8" t="str">
        <f t="shared" si="0"/>
        <v>QDA</v>
      </c>
      <c r="D26" s="28" t="str">
        <v>Lasso (a=1e-5)</v>
      </c>
      <c r="F26" s="8" cm="1">
        <f t="array" aca="1" ref="F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1.0200000000000001E-2</v>
      </c>
      <c r="G26" s="8" cm="1">
        <f t="array" aca="1" ref="G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0.70579999999999998</v>
      </c>
      <c r="H26" s="8" cm="1">
        <f t="array" aca="1" ref="H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2.01E-2</v>
      </c>
      <c r="I26" s="8" t="str" cm="1">
        <f t="array" aca="1" ref="I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0.9039</v>
      </c>
      <c r="J26" s="8" t="str" cm="1">
        <f t="array" aca="1" ref="J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0.0241</v>
      </c>
      <c r="K26" s="21" cm="1">
        <f t="array" aca="1" ref="K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0.89459999999999995</v>
      </c>
      <c r="L26" s="8" cm="1">
        <f t="array" aca="1" ref="L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9.9000000000000008E-3</v>
      </c>
      <c r="M26" s="8" cm="1">
        <f t="array" aca="1" ref="M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0.7077</v>
      </c>
      <c r="N26" s="8" cm="1">
        <f t="array" aca="1" ref="N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1.9599999999999999E-2</v>
      </c>
      <c r="O26" s="8" cm="1">
        <f t="array" aca="1" ref="O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0.90349999999999997</v>
      </c>
      <c r="P26" s="8" cm="1">
        <f t="array" aca="1" ref="P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2.18E-2</v>
      </c>
      <c r="Q26" s="14" cm="1">
        <f t="array" aca="1" ref="Q26" ca="1">_xlfn.LET(
    _xlpm.sheet, $D$2,
    _xlpm.rowMatch, MATCH(
        TRIM($D26)&amp;"|"&amp;TRIM($C26),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0.89410000000000001</v>
      </c>
    </row>
    <row r="27" spans="1:18" ht="20" customHeight="1" x14ac:dyDescent="0.4">
      <c r="B27" s="36" t="str" cm="1">
        <f t="array" ref="B2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7" s="8" t="str">
        <f t="shared" si="0"/>
        <v>QDA</v>
      </c>
      <c r="D27" s="17" t="str">
        <v>Lasso (a=1e-6)</v>
      </c>
      <c r="F27" s="8" cm="1">
        <f t="array" aca="1" ref="F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1.83E-2</v>
      </c>
      <c r="G27" s="8" cm="1">
        <f t="array" aca="1" ref="G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0.5766</v>
      </c>
      <c r="H27" s="8" cm="1">
        <f t="array" aca="1" ref="H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3.5400000000000001E-2</v>
      </c>
      <c r="I27" s="8" t="str" cm="1">
        <f t="array" aca="1" ref="I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0.9231</v>
      </c>
      <c r="J27" s="8" t="str" cm="1">
        <f t="array" aca="1" ref="J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0.0247</v>
      </c>
      <c r="K27" s="21" cm="1">
        <f t="array" aca="1" ref="K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0.95299999999999996</v>
      </c>
      <c r="L27" s="8" cm="1">
        <f t="array" aca="1" ref="L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1.83E-2</v>
      </c>
      <c r="M27" s="8" cm="1">
        <f t="array" aca="1" ref="M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0.57550000000000001</v>
      </c>
      <c r="N27" s="8" cm="1">
        <f t="array" aca="1" ref="N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3.5400000000000001E-2</v>
      </c>
      <c r="O27" s="8" cm="1">
        <f t="array" aca="1" ref="O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0.91959999999999997</v>
      </c>
      <c r="P27" s="8" cm="1">
        <f t="array" aca="1" ref="P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2.2100000000000002E-2</v>
      </c>
      <c r="Q27" s="14" cm="1">
        <f t="array" aca="1" ref="Q27" ca="1">_xlfn.LET(
    _xlpm.sheet, $D$2,
    _xlpm.rowMatch, MATCH(
        TRIM($D27)&amp;"|"&amp;TRIM($C27),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0.95309999999999995</v>
      </c>
    </row>
    <row r="28" spans="1:18" ht="20" customHeight="1" x14ac:dyDescent="0.4">
      <c r="B28" s="36" t="str" cm="1">
        <f t="array" ref="B2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8" s="8" t="str">
        <f t="shared" si="0"/>
        <v>QDA</v>
      </c>
      <c r="D28" s="17" t="str">
        <v>Ridge (a=1e2)</v>
      </c>
      <c r="F28" s="8" cm="1">
        <f t="array" aca="1" ref="F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9.5999999999999992E-3</v>
      </c>
      <c r="G28" s="8" cm="1">
        <f t="array" aca="1" ref="G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0.6895</v>
      </c>
      <c r="H28" s="8" cm="1">
        <f t="array" aca="1" ref="H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1.89E-2</v>
      </c>
      <c r="I28" s="8" t="str" cm="1">
        <f t="array" aca="1" ref="I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0.8946</v>
      </c>
      <c r="J28" s="8" t="str" cm="1">
        <f t="array" aca="1" ref="J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0.0206</v>
      </c>
      <c r="K28" s="21" cm="1">
        <f t="array" aca="1" ref="K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0.89139999999999997</v>
      </c>
      <c r="L28" s="8" cm="1">
        <f t="array" aca="1" ref="L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9.1000000000000004E-3</v>
      </c>
      <c r="M28" s="8" cm="1">
        <f t="array" aca="1" ref="M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0.69069999999999998</v>
      </c>
      <c r="N28" s="8" cm="1">
        <f t="array" aca="1" ref="N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1.7999999999999999E-2</v>
      </c>
      <c r="O28" s="8" cm="1">
        <f t="array" aca="1" ref="O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0.88519999999999999</v>
      </c>
      <c r="P28" s="8" cm="1">
        <f t="array" aca="1" ref="P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1.7899999999999999E-2</v>
      </c>
      <c r="Q28" s="14" cm="1">
        <f t="array" aca="1" ref="Q28" ca="1">_xlfn.LET(
    _xlpm.sheet, $D$2,
    _xlpm.rowMatch, MATCH(
        TRIM($D28)&amp;"|"&amp;TRIM($C28),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0.88749999999999996</v>
      </c>
    </row>
    <row r="29" spans="1:18" ht="20" customHeight="1" x14ac:dyDescent="0.4">
      <c r="B29" s="36" t="str" cm="1">
        <f t="array" ref="B2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9" s="8" t="str">
        <f t="shared" si="0"/>
        <v>QDA</v>
      </c>
      <c r="D29" s="17" t="str">
        <v>Ridge (a=1e3)</v>
      </c>
      <c r="F29" s="8" cm="1">
        <f t="array" aca="1" ref="F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1.4500000000000001E-2</v>
      </c>
      <c r="G29" s="8" cm="1">
        <f t="array" aca="1" ref="G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0.60699999999999998</v>
      </c>
      <c r="H29" s="8" cm="1">
        <f t="array" aca="1" ref="H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2.81E-2</v>
      </c>
      <c r="I29" s="8" t="str" cm="1">
        <f t="array" aca="1" ref="I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0.8945</v>
      </c>
      <c r="J29" s="8" t="str" cm="1">
        <f t="array" aca="1" ref="J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0.0201</v>
      </c>
      <c r="K29" s="21" cm="1">
        <f t="array" aca="1" ref="K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0.92659999999999998</v>
      </c>
      <c r="L29" s="8" cm="1">
        <f t="array" aca="1" ref="L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9.7000000000000003E-3</v>
      </c>
      <c r="M29" s="8" cm="1">
        <f t="array" aca="1" ref="M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0.71030000000000004</v>
      </c>
      <c r="N29" s="8" cm="1">
        <f t="array" aca="1" ref="N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1.9099999999999999E-2</v>
      </c>
      <c r="O29" s="8" cm="1">
        <f t="array" aca="1" ref="O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0.88980000000000004</v>
      </c>
      <c r="P29" s="8" cm="1">
        <f t="array" aca="1" ref="P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1.7399999999999999E-2</v>
      </c>
      <c r="Q29" s="14" cm="1">
        <f t="array" aca="1" ref="Q29" ca="1">_xlfn.LET(
    _xlpm.sheet, $D$2,
    _xlpm.rowMatch, MATCH(
        TRIM($D29)&amp;"|"&amp;TRIM($C29),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0.89070000000000005</v>
      </c>
    </row>
    <row r="30" spans="1:18" ht="20" customHeight="1" x14ac:dyDescent="0.4">
      <c r="B30" s="36" t="str" cm="1">
        <f t="array" ref="B3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0" s="8" t="str">
        <f t="shared" si="0"/>
        <v>QDA</v>
      </c>
      <c r="D30" s="17" t="str">
        <v>Ridge (a=1e4)</v>
      </c>
      <c r="F30" s="8" cm="1">
        <f t="array" aca="1" ref="F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9.5999999999999992E-3</v>
      </c>
      <c r="G30" s="8" cm="1">
        <f t="array" aca="1" ref="G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0.77869999999999995</v>
      </c>
      <c r="H30" s="8" cm="1">
        <f t="array" aca="1" ref="H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1.9E-2</v>
      </c>
      <c r="I30" s="8" t="str" cm="1">
        <f t="array" aca="1" ref="I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0.9157</v>
      </c>
      <c r="J30" s="8" t="str" cm="1">
        <f t="array" aca="1" ref="J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0.0247</v>
      </c>
      <c r="K30" s="21" cm="1">
        <f t="array" aca="1" ref="K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0.87939999999999996</v>
      </c>
      <c r="L30" s="8" cm="1">
        <f t="array" aca="1" ref="L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9.2999999999999992E-3</v>
      </c>
      <c r="M30" s="8" cm="1">
        <f t="array" aca="1" ref="M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0.85680000000000001</v>
      </c>
      <c r="N30" s="8" cm="1">
        <f t="array" aca="1" ref="N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1.84E-2</v>
      </c>
      <c r="O30" s="8" cm="1">
        <f t="array" aca="1" ref="O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0.90820000000000001</v>
      </c>
      <c r="P30" s="8" cm="1">
        <f t="array" aca="1" ref="P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2.2599999999999999E-2</v>
      </c>
      <c r="Q30" s="14" cm="1">
        <f t="array" aca="1" ref="Q30" ca="1">_xlfn.LET(
    _xlpm.sheet, $D$2,
    _xlpm.rowMatch, MATCH(
        TRIM($D30)&amp;"|"&amp;TRIM($C30),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0.86329999999999996</v>
      </c>
    </row>
    <row r="31" spans="1:18" ht="20" customHeight="1" x14ac:dyDescent="0.4">
      <c r="B31" s="36" t="str" cm="1">
        <f t="array" ref="B3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1" s="8" t="str">
        <f t="shared" si="0"/>
        <v>QDA</v>
      </c>
      <c r="D31" s="17" t="str">
        <v>Ridge (a=1e5)</v>
      </c>
      <c r="F31" s="8" cm="1">
        <f t="array" aca="1" ref="F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8.0000000000000002E-3</v>
      </c>
      <c r="G31" s="8" cm="1">
        <f t="array" aca="1" ref="G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0.87319999999999998</v>
      </c>
      <c r="H31" s="8" cm="1">
        <f t="array" aca="1" ref="H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1.5800000000000002E-2</v>
      </c>
      <c r="I31" s="8" t="str" cm="1">
        <f t="array" aca="1" ref="I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0.9075</v>
      </c>
      <c r="J31" s="8" t="str" cm="1">
        <f t="array" aca="1" ref="J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0.0237</v>
      </c>
      <c r="K31" s="21" cm="1">
        <f t="array" aca="1" ref="K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0.83660000000000001</v>
      </c>
      <c r="L31" s="8" cm="1">
        <f t="array" aca="1" ref="L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8.2000000000000007E-3</v>
      </c>
      <c r="M31" s="8" cm="1">
        <f t="array" aca="1" ref="M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0.76119999999999999</v>
      </c>
      <c r="N31" s="8" cm="1">
        <f t="array" aca="1" ref="N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1.6299999999999999E-2</v>
      </c>
      <c r="O31" s="8" cm="1">
        <f t="array" aca="1" ref="O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0.90300000000000002</v>
      </c>
      <c r="P31" s="8" cm="1">
        <f t="array" aca="1" ref="P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2.1600000000000001E-2</v>
      </c>
      <c r="Q31" s="14" cm="1">
        <f t="array" aca="1" ref="Q31" ca="1">_xlfn.LET(
    _xlpm.sheet, $D$2,
    _xlpm.rowMatch, MATCH(
        TRIM($D31)&amp;"|"&amp;TRIM($C31),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0.86240000000000006</v>
      </c>
    </row>
    <row r="32" spans="1:18" ht="20" customHeight="1" x14ac:dyDescent="0.4">
      <c r="B32" s="36" t="str" cm="1">
        <f t="array" ref="B3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2" s="8" t="str">
        <f t="shared" si="0"/>
        <v>QDA</v>
      </c>
      <c r="D32" s="17" t="str">
        <v>Ridge (a=1e6)</v>
      </c>
      <c r="F32" s="8" cm="1">
        <f t="array" aca="1" ref="F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7.4999999999999997E-3</v>
      </c>
      <c r="G32" s="8" cm="1">
        <f t="array" aca="1" ref="G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0.88570000000000004</v>
      </c>
      <c r="H32" s="8" cm="1">
        <f t="array" aca="1" ref="H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1.49E-2</v>
      </c>
      <c r="I32" s="8" t="str" cm="1">
        <f t="array" aca="1" ref="I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0.9092</v>
      </c>
      <c r="J32" s="8" t="str" cm="1">
        <f t="array" aca="1" ref="J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0.0250</v>
      </c>
      <c r="K32" s="21" cm="1">
        <f t="array" aca="1" ref="K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0.82310000000000005</v>
      </c>
      <c r="L32" s="8" cm="1">
        <f t="array" aca="1" ref="L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8.6999999999999994E-3</v>
      </c>
      <c r="M32" s="8" cm="1">
        <f t="array" aca="1" ref="M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0.83930000000000005</v>
      </c>
      <c r="N32" s="8" cm="1">
        <f t="array" aca="1" ref="N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1.7299999999999999E-2</v>
      </c>
      <c r="O32" s="8" cm="1">
        <f t="array" aca="1" ref="O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0.90369999999999995</v>
      </c>
      <c r="P32" s="8" cm="1">
        <f t="array" aca="1" ref="P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2.29E-2</v>
      </c>
      <c r="Q32" s="14" cm="1">
        <f t="array" aca="1" ref="Q32" ca="1">_xlfn.LET(
    _xlpm.sheet, $D$2,
    _xlpm.rowMatch, MATCH(
        TRIM($D32)&amp;"|"&amp;TRIM($C32),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0.85729999999999995</v>
      </c>
    </row>
    <row r="33" spans="1:27" s="9" customFormat="1" ht="20" customHeight="1" thickBot="1" x14ac:dyDescent="0.45">
      <c r="A33" s="8"/>
      <c r="B33" s="37" t="str" cm="1">
        <f t="array" ref="B3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3" s="9" t="str">
        <f t="shared" si="0"/>
        <v>QDA</v>
      </c>
      <c r="D33" s="18" t="str">
        <v>XGBoost_Top10</v>
      </c>
      <c r="E33" s="25"/>
      <c r="F33" s="42" cm="1">
        <f t="array" aca="1" ref="F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2.9499999999999998E-2</v>
      </c>
      <c r="G33" s="9" cm="1">
        <f t="array" aca="1" ref="G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0.2656</v>
      </c>
      <c r="H33" s="9" cm="1">
        <f t="array" aca="1" ref="H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5.3100000000000001E-2</v>
      </c>
      <c r="I33" s="9" t="str" cm="1">
        <f t="array" aca="1" ref="I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0.9106</v>
      </c>
      <c r="J33" s="9" t="str" cm="1">
        <f t="array" aca="1" ref="J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0.0209</v>
      </c>
      <c r="K33" s="26" cm="1">
        <f t="array" aca="1" ref="K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0.98580000000000001</v>
      </c>
      <c r="L33" s="9" cm="1">
        <f t="array" aca="1" ref="L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2.8799999999999999E-2</v>
      </c>
      <c r="M33" s="9" cm="1">
        <f t="array" aca="1" ref="M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0.25969999999999999</v>
      </c>
      <c r="N33" s="9" cm="1">
        <f t="array" aca="1" ref="N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5.1900000000000002E-2</v>
      </c>
      <c r="O33" s="9" cm="1">
        <f t="array" aca="1" ref="O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0.90710000000000002</v>
      </c>
      <c r="P33" s="9" cm="1">
        <f t="array" aca="1" ref="P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1.8700000000000001E-2</v>
      </c>
      <c r="Q33" s="15" cm="1">
        <f t="array" aca="1" ref="Q33" ca="1">_xlfn.LET(
    _xlpm.sheet, $D$2,
    _xlpm.rowMatch, MATCH(
        TRIM($D33)&amp;"|"&amp;TRIM($C33),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0.98580000000000001</v>
      </c>
      <c r="R33" s="8"/>
    </row>
    <row r="34" spans="1:27" ht="20" customHeight="1" x14ac:dyDescent="0.4">
      <c r="B34" s="36" t="str" cm="1">
        <f t="array" ref="B3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>XGBoost</v>
      </c>
      <c r="C34" s="8" t="str">
        <f t="shared" si="0"/>
        <v>XGBoost</v>
      </c>
      <c r="D34" s="39" t="str">
        <v>Full_Set_Baseline</v>
      </c>
      <c r="E34" s="21"/>
      <c r="F34" s="8" cm="1">
        <f t="array" aca="1" ref="F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0.85519999999999996</v>
      </c>
      <c r="G34" s="8" cm="1">
        <f t="array" aca="1" ref="G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0.69499999999999995</v>
      </c>
      <c r="H34" s="8" cm="1">
        <f t="array" aca="1" ref="H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0.76670000000000005</v>
      </c>
      <c r="I34" s="8" t="str" cm="1">
        <f t="array" aca="1" ref="I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0.9380</v>
      </c>
      <c r="J34" s="8" t="str" cm="1">
        <f t="array" aca="1" ref="J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0.7426</v>
      </c>
      <c r="K34" s="21" cm="1">
        <f t="array" aca="1" ref="K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0.99939999999999996</v>
      </c>
      <c r="L34" s="8" cm="1">
        <f t="array" aca="1" ref="L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0.82850000000000001</v>
      </c>
      <c r="M34" s="8" cm="1">
        <f t="array" aca="1" ref="M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0.66900000000000004</v>
      </c>
      <c r="N34" s="8" cm="1">
        <f t="array" aca="1" ref="N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0.74019999999999997</v>
      </c>
      <c r="O34" s="8" cm="1">
        <f t="array" aca="1" ref="O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0.90900000000000003</v>
      </c>
      <c r="P34" s="8" cm="1">
        <f t="array" aca="1" ref="P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0.67290000000000005</v>
      </c>
      <c r="Q34" s="14" cm="1">
        <f t="array" aca="1" ref="Q34" ca="1">_xlfn.LET(
    _xlpm.sheet, $D$2,
    _xlpm.rowMatch, MATCH(
        TRIM($D34)&amp;"|"&amp;TRIM($C34),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0.99929999999999997</v>
      </c>
    </row>
    <row r="35" spans="1:27" ht="20" customHeight="1" x14ac:dyDescent="0.4">
      <c r="B35" s="36" t="str" cm="1">
        <f t="array" ref="B3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5" s="8" t="str">
        <f t="shared" si="0"/>
        <v>XGBoost</v>
      </c>
      <c r="D35" s="17" t="str">
        <v>Lasso (a=1e-4)</v>
      </c>
      <c r="E35" s="21"/>
      <c r="F35" s="8" cm="1">
        <f t="array" aca="1" ref="F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0.84119999999999995</v>
      </c>
      <c r="G35" s="8" cm="1">
        <f t="array" aca="1" ref="G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0.2155</v>
      </c>
      <c r="H35" s="8" cm="1">
        <f t="array" aca="1" ref="H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0.34289999999999998</v>
      </c>
      <c r="I35" s="8" t="str" cm="1">
        <f t="array" aca="1" ref="I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0.9286</v>
      </c>
      <c r="J35" s="8" t="str" cm="1">
        <f t="array" aca="1" ref="J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0.2481</v>
      </c>
      <c r="K35" s="21" cm="1">
        <f t="array" aca="1" ref="K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0.99880000000000002</v>
      </c>
      <c r="L35" s="8" cm="1">
        <f t="array" aca="1" ref="L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</v>
      </c>
      <c r="M35" s="8" cm="1">
        <f t="array" aca="1" ref="M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</v>
      </c>
      <c r="N35" s="8" cm="1">
        <f t="array" aca="1" ref="N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</v>
      </c>
      <c r="O35" s="8" cm="1">
        <f t="array" aca="1" ref="O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0.72419999999999995</v>
      </c>
      <c r="P35" s="8" cm="1">
        <f t="array" aca="1" ref="P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1.1599999999999999E-2</v>
      </c>
      <c r="Q35" s="14" cm="1">
        <f t="array" aca="1" ref="Q35" ca="1">_xlfn.LET(
    _xlpm.sheet, $D$2,
    _xlpm.rowMatch, MATCH(
        TRIM($D35)&amp;"|"&amp;TRIM($C35),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0.99660000000000004</v>
      </c>
    </row>
    <row r="36" spans="1:27" s="9" customFormat="1" ht="20" customHeight="1" thickBot="1" x14ac:dyDescent="0.45">
      <c r="A36" s="8"/>
      <c r="B36" s="36" t="str" cm="1">
        <f t="array" ref="B3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6" s="8" t="str">
        <f t="shared" si="0"/>
        <v>XGBoost</v>
      </c>
      <c r="D36" s="28" t="str">
        <v>Lasso (a=1e-5)</v>
      </c>
      <c r="E36" s="21"/>
      <c r="F36" s="8" cm="1">
        <f t="array" aca="1" ref="F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0.60350000000000004</v>
      </c>
      <c r="G36" s="8" cm="1">
        <f t="array" aca="1" ref="G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0.29899999999999999</v>
      </c>
      <c r="H36" s="8" cm="1">
        <f t="array" aca="1" ref="H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0.39960000000000001</v>
      </c>
      <c r="I36" s="8" t="str" cm="1">
        <f t="array" aca="1" ref="I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0.8597</v>
      </c>
      <c r="J36" s="8" t="str" cm="1">
        <f t="array" aca="1" ref="J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0.3043</v>
      </c>
      <c r="K36" s="21" cm="1">
        <f t="array" aca="1" ref="K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0.99870000000000003</v>
      </c>
      <c r="L36" s="8" cm="1">
        <f t="array" aca="1" ref="L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0.58579999999999999</v>
      </c>
      <c r="M36" s="8" cm="1">
        <f t="array" aca="1" ref="M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0.26800000000000002</v>
      </c>
      <c r="N36" s="8" cm="1">
        <f t="array" aca="1" ref="N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0.36780000000000002</v>
      </c>
      <c r="O36" s="8" cm="1">
        <f t="array" aca="1" ref="O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0.82220000000000004</v>
      </c>
      <c r="P36" s="8" cm="1">
        <f t="array" aca="1" ref="P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0.25090000000000001</v>
      </c>
      <c r="Q36" s="14" cm="1">
        <f t="array" aca="1" ref="Q36" ca="1">_xlfn.LET(
    _xlpm.sheet, $D$2,
    _xlpm.rowMatch, MATCH(
        TRIM($D36)&amp;"|"&amp;TRIM($C36),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0.99860000000000004</v>
      </c>
      <c r="R36" s="8"/>
    </row>
    <row r="37" spans="1:27" ht="20" customHeight="1" x14ac:dyDescent="0.4">
      <c r="B37" s="36" t="str" cm="1">
        <f t="array" ref="B3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7" s="8" t="str">
        <f t="shared" si="0"/>
        <v>XGBoost</v>
      </c>
      <c r="D37" s="28" t="str">
        <v>Lasso (a=1e-6)</v>
      </c>
      <c r="E37" s="21"/>
      <c r="F37" s="8" cm="1">
        <f t="array" aca="1" ref="F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0.8508</v>
      </c>
      <c r="G37" s="8" cm="1">
        <f t="array" aca="1" ref="G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0.69730000000000003</v>
      </c>
      <c r="H37" s="8" cm="1">
        <f t="array" aca="1" ref="H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0.76639999999999997</v>
      </c>
      <c r="I37" s="8" t="str" cm="1">
        <f t="array" aca="1" ref="I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0.9363</v>
      </c>
      <c r="J37" s="8" t="str" cm="1">
        <f t="array" aca="1" ref="J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0.7349</v>
      </c>
      <c r="K37" s="21" cm="1">
        <f t="array" aca="1" ref="K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0.99939999999999996</v>
      </c>
      <c r="L37" s="8" cm="1">
        <f t="array" aca="1" ref="L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0.81810000000000005</v>
      </c>
      <c r="M37" s="8" cm="1">
        <f t="array" aca="1" ref="M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0.67930000000000001</v>
      </c>
      <c r="N37" s="8" cm="1">
        <f t="array" aca="1" ref="N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0.74219999999999997</v>
      </c>
      <c r="O37" s="8" cm="1">
        <f t="array" aca="1" ref="O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0.91300000000000003</v>
      </c>
      <c r="P37" s="8" cm="1">
        <f t="array" aca="1" ref="P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0.68600000000000005</v>
      </c>
      <c r="Q37" s="14" cm="1">
        <f t="array" aca="1" ref="Q37" ca="1">_xlfn.LET(
    _xlpm.sheet, $D$2,
    _xlpm.rowMatch, MATCH(
        TRIM($D37)&amp;"|"&amp;TRIM($C37),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0.99929999999999997</v>
      </c>
    </row>
    <row r="38" spans="1:27" ht="20" customHeight="1" x14ac:dyDescent="0.4">
      <c r="B38" s="36" t="str" cm="1">
        <f t="array" ref="B3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8" s="8" t="str">
        <f t="shared" si="0"/>
        <v>XGBoost</v>
      </c>
      <c r="D38" s="28" t="str">
        <v>Ridge (a=1e2)</v>
      </c>
      <c r="E38" s="21"/>
      <c r="F38" s="8" cm="1">
        <f t="array" aca="1" ref="F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0.67500000000000004</v>
      </c>
      <c r="G38" s="8" cm="1">
        <f t="array" aca="1" ref="G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0.35670000000000002</v>
      </c>
      <c r="H38" s="8" cm="1">
        <f t="array" aca="1" ref="H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0.46660000000000001</v>
      </c>
      <c r="I38" s="8" t="str" cm="1">
        <f t="array" aca="1" ref="I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0.8987</v>
      </c>
      <c r="J38" s="8" t="str" cm="1">
        <f t="array" aca="1" ref="J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0.3944</v>
      </c>
      <c r="K38" s="21" cm="1">
        <f t="array" aca="1" ref="K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0.99880000000000002</v>
      </c>
      <c r="L38" s="8" cm="1">
        <f t="array" aca="1" ref="L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0.61670000000000003</v>
      </c>
      <c r="M38" s="8" cm="1">
        <f t="array" aca="1" ref="M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0.30580000000000002</v>
      </c>
      <c r="N38" s="8" cm="1">
        <f t="array" aca="1" ref="N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0.4088</v>
      </c>
      <c r="O38" s="8" cm="1">
        <f t="array" aca="1" ref="O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0.8276</v>
      </c>
      <c r="P38" s="8" cm="1">
        <f t="array" aca="1" ref="P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0.33169999999999999</v>
      </c>
      <c r="Q38" s="14" cm="1">
        <f t="array" aca="1" ref="Q38" ca="1">_xlfn.LET(
    _xlpm.sheet, $D$2,
    _xlpm.rowMatch, MATCH(
        TRIM($D38)&amp;"|"&amp;TRIM($C38),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0.99870000000000003</v>
      </c>
      <c r="AA38" s="8" t="s">
        <v>51</v>
      </c>
    </row>
    <row r="39" spans="1:27" ht="20" customHeight="1" x14ac:dyDescent="0.4">
      <c r="B39" s="36" t="str" cm="1">
        <f t="array" ref="B3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39" s="8" t="str">
        <f t="shared" si="0"/>
        <v>XGBoost</v>
      </c>
      <c r="D39" s="17" t="str">
        <v>Ridge (a=1e3)</v>
      </c>
      <c r="E39" s="21"/>
      <c r="F39" s="8" cm="1">
        <f t="array" aca="1" ref="F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0.67500000000000004</v>
      </c>
      <c r="G39" s="8" cm="1">
        <f t="array" aca="1" ref="G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0.35670000000000002</v>
      </c>
      <c r="H39" s="8" cm="1">
        <f t="array" aca="1" ref="H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0.46660000000000001</v>
      </c>
      <c r="I39" s="8" t="str" cm="1">
        <f t="array" aca="1" ref="I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0.8987</v>
      </c>
      <c r="J39" s="8" t="str" cm="1">
        <f t="array" aca="1" ref="J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0.3944</v>
      </c>
      <c r="K39" s="21" cm="1">
        <f t="array" aca="1" ref="K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0.99880000000000002</v>
      </c>
      <c r="L39" s="8" cm="1">
        <f t="array" aca="1" ref="L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0.61670000000000003</v>
      </c>
      <c r="M39" s="8" cm="1">
        <f t="array" aca="1" ref="M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0.30580000000000002</v>
      </c>
      <c r="N39" s="8" cm="1">
        <f t="array" aca="1" ref="N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0.4088</v>
      </c>
      <c r="O39" s="8" cm="1">
        <f t="array" aca="1" ref="O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0.8276</v>
      </c>
      <c r="P39" s="8" cm="1">
        <f t="array" aca="1" ref="P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0.33169999999999999</v>
      </c>
      <c r="Q39" s="14" cm="1">
        <f t="array" aca="1" ref="Q39" ca="1">_xlfn.LET(
    _xlpm.sheet, $D$2,
    _xlpm.rowMatch, MATCH(
        TRIM($D39)&amp;"|"&amp;TRIM($C39),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0.99870000000000003</v>
      </c>
    </row>
    <row r="40" spans="1:27" ht="20" customHeight="1" x14ac:dyDescent="0.4">
      <c r="B40" s="36" t="str" cm="1">
        <f t="array" ref="B4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0" s="8" t="str">
        <f t="shared" si="0"/>
        <v>XGBoost</v>
      </c>
      <c r="D40" s="17" t="str">
        <v>Ridge (a=1e4)</v>
      </c>
      <c r="E40" s="21"/>
      <c r="F40" s="8" cm="1">
        <f t="array" aca="1" ref="F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0.64249999999999996</v>
      </c>
      <c r="G40" s="8" cm="1">
        <f t="array" aca="1" ref="G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0.35089999999999999</v>
      </c>
      <c r="H40" s="8" cm="1">
        <f t="array" aca="1" ref="H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0.45390000000000003</v>
      </c>
      <c r="I40" s="8" t="str" cm="1">
        <f t="array" aca="1" ref="I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0.8820</v>
      </c>
      <c r="J40" s="8" t="str" cm="1">
        <f t="array" aca="1" ref="J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0.3687</v>
      </c>
      <c r="K40" s="21" cm="1">
        <f t="array" aca="1" ref="K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0.99870000000000003</v>
      </c>
      <c r="L40" s="8" cm="1">
        <f t="array" aca="1" ref="L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0.58009999999999995</v>
      </c>
      <c r="M40" s="8" cm="1">
        <f t="array" aca="1" ref="M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0.33850000000000002</v>
      </c>
      <c r="N40" s="8" cm="1">
        <f t="array" aca="1" ref="N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0.42749999999999999</v>
      </c>
      <c r="O40" s="8" cm="1">
        <f t="array" aca="1" ref="O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0.8579</v>
      </c>
      <c r="P40" s="8" cm="1">
        <f t="array" aca="1" ref="P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0.34599999999999997</v>
      </c>
      <c r="Q40" s="14" cm="1">
        <f t="array" aca="1" ref="Q40" ca="1">_xlfn.LET(
    _xlpm.sheet, $D$2,
    _xlpm.rowMatch, MATCH(
        TRIM($D40)&amp;"|"&amp;TRIM($C40),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0.99860000000000004</v>
      </c>
    </row>
    <row r="41" spans="1:27" ht="20" customHeight="1" x14ac:dyDescent="0.4">
      <c r="B41" s="36" t="str" cm="1">
        <f t="array" ref="B4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1" s="8" t="str">
        <f t="shared" si="0"/>
        <v>XGBoost</v>
      </c>
      <c r="D41" s="17" t="str">
        <v>Ridge (a=1e5)</v>
      </c>
      <c r="F41" s="8" cm="1">
        <f t="array" aca="1" ref="F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0.62809999999999999</v>
      </c>
      <c r="G41" s="8" cm="1">
        <f t="array" aca="1" ref="G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0.34</v>
      </c>
      <c r="H41" s="8" cm="1">
        <f t="array" aca="1" ref="H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0.44059999999999999</v>
      </c>
      <c r="I41" s="8" t="str" cm="1">
        <f t="array" aca="1" ref="I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0.8914</v>
      </c>
      <c r="J41" s="8" t="str" cm="1">
        <f t="array" aca="1" ref="J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0.3414</v>
      </c>
      <c r="K41" s="21" cm="1">
        <f t="array" aca="1" ref="K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0.99870000000000003</v>
      </c>
      <c r="L41" s="8" cm="1">
        <f t="array" aca="1" ref="L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0.66269999999999996</v>
      </c>
      <c r="M41" s="8" cm="1">
        <f t="array" aca="1" ref="M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0.32119999999999999</v>
      </c>
      <c r="N41" s="8" cm="1">
        <f t="array" aca="1" ref="N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0.43269999999999997</v>
      </c>
      <c r="O41" s="8" cm="1">
        <f t="array" aca="1" ref="O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0.90559999999999996</v>
      </c>
      <c r="P41" s="8" cm="1">
        <f t="array" aca="1" ref="P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0.38090000000000002</v>
      </c>
      <c r="Q41" s="14" cm="1">
        <f t="array" aca="1" ref="Q41" ca="1">_xlfn.LET(
    _xlpm.sheet, $D$2,
    _xlpm.rowMatch, MATCH(
        TRIM($D41)&amp;"|"&amp;TRIM($C41),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0.99870000000000003</v>
      </c>
    </row>
    <row r="42" spans="1:27" ht="20" customHeight="1" x14ac:dyDescent="0.4">
      <c r="B42" s="36" t="str" cm="1">
        <f t="array" ref="B4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2" s="8" t="str">
        <f t="shared" si="0"/>
        <v>XGBoost</v>
      </c>
      <c r="D42" s="17" t="str">
        <v>Ridge (a=1e6)</v>
      </c>
      <c r="F42" s="8" cm="1">
        <f t="array" aca="1" ref="F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0.79620000000000002</v>
      </c>
      <c r="G42" s="8" cm="1">
        <f t="array" aca="1" ref="G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0.61339999999999995</v>
      </c>
      <c r="H42" s="8" cm="1">
        <f t="array" aca="1" ref="H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0.69279999999999997</v>
      </c>
      <c r="I42" s="8" t="str" cm="1">
        <f t="array" aca="1" ref="I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0.8963</v>
      </c>
      <c r="J42" s="8" t="str" cm="1">
        <f t="array" aca="1" ref="J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0.6320</v>
      </c>
      <c r="K42" s="21" cm="1">
        <f t="array" aca="1" ref="K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0.99919999999999998</v>
      </c>
      <c r="L42" s="8" cm="1">
        <f t="array" aca="1" ref="L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0.83260000000000001</v>
      </c>
      <c r="M42" s="8" cm="1">
        <f t="array" aca="1" ref="M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0.64800000000000002</v>
      </c>
      <c r="N42" s="8" cm="1">
        <f t="array" aca="1" ref="N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0.7288</v>
      </c>
      <c r="O42" s="8" cm="1">
        <f t="array" aca="1" ref="O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0.90669999999999995</v>
      </c>
      <c r="P42" s="8" cm="1">
        <f t="array" aca="1" ref="P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0.68049999999999999</v>
      </c>
      <c r="Q42" s="14" cm="1">
        <f t="array" aca="1" ref="Q42" ca="1">_xlfn.LET(
    _xlpm.sheet, $D$2,
    _xlpm.rowMatch, MATCH(
        TRIM($D42)&amp;"|"&amp;TRIM($C42),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0.99929999999999997</v>
      </c>
    </row>
    <row r="43" spans="1:27" ht="20" customHeight="1" thickBot="1" x14ac:dyDescent="0.45">
      <c r="B43" s="38" t="str" cm="1">
        <f t="array" ref="B4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3" s="5" t="str">
        <f t="shared" si="0"/>
        <v>XGBoost</v>
      </c>
      <c r="D43" s="19" t="str">
        <v>XGBoost_Top10</v>
      </c>
      <c r="E43" s="22"/>
      <c r="F43" s="5" cm="1">
        <f t="array" aca="1" ref="F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>0.61040000000000005</v>
      </c>
      <c r="G43" s="5" cm="1">
        <f t="array" aca="1" ref="G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>0.31840000000000002</v>
      </c>
      <c r="H43" s="5" cm="1">
        <f t="array" aca="1" ref="H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>0.41830000000000001</v>
      </c>
      <c r="I43" s="5" t="str" cm="1">
        <f t="array" aca="1" ref="I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TRIM(I$3),
        TRIM(INDIRECT(_xlpm.sheet &amp; "!C1:M1")),
        0
    ),
    _xlpm.val, IFERROR(INDEX(INDIRECT(_xlpm.sheet &amp; "!C2:M100"), _xlpm.rowMatch, _xlpm.colMatch), ""),
    IF(_xlpm.val="", "", _xlpm.val)
)</f>
        <v>0.8704</v>
      </c>
      <c r="J43" s="5" t="str" cm="1">
        <f t="array" aca="1" ref="J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>0.3204</v>
      </c>
      <c r="K43" s="20" cm="1">
        <f t="array" aca="1" ref="K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>0.99870000000000003</v>
      </c>
      <c r="L43" s="5" cm="1">
        <f t="array" aca="1" ref="L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>0.63419999999999999</v>
      </c>
      <c r="M43" s="5" cm="1">
        <f t="array" aca="1" ref="M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>0.28649999999999998</v>
      </c>
      <c r="N43" s="5" cm="1">
        <f t="array" aca="1" ref="N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TRIM(N$3),
        TRIM(INDIRECT(_xlpm.sheet &amp; "!C1:M1")),
        0
    ),
    _xlpm.val, IFERROR(INDEX(INDIRECT(_xlpm.sheet &amp; "!C2:M100"), _xlpm.rowMatch, _xlpm.colMatch), ""),
    IF(_xlpm.val="", "", _xlpm.val)
)</f>
        <v>0.3947</v>
      </c>
      <c r="O43" s="5" cm="1">
        <f t="array" aca="1" ref="O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>0.85499999999999998</v>
      </c>
      <c r="P43" s="5" cm="1">
        <f t="array" aca="1" ref="P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>0.32200000000000001</v>
      </c>
      <c r="Q43" s="12" cm="1">
        <f t="array" aca="1" ref="Q43" ca="1">_xlfn.LET(
    _xlpm.sheet, $D$2,
    _xlpm.rowMatch, MATCH(
        TRIM($D43)&amp;"|"&amp;TRIM($C43),
        TRIM(INDIRECT(_xlpm.sheet &amp; "!A2:A45")) &amp; "|" &amp; TRIM(INDIRECT(_xlpm.sheet &amp; "!B2:B45")),
        0
    ),
    _xlpm.colMatch, MATCH(
        TRIM(Q$3),
        TRIM(INDIRECT(_xlpm.sheet &amp; "!C1:N1")),
        0
    ),
    _xlpm.val, IFERROR(INDEX(INDIRECT(_xlpm.sheet &amp; "!C2:N100"), _xlpm.rowMatch, _xlpm.colMatch), ""),
    IF(_xlpm.val="", "", _xlpm.val)
)</f>
        <v>0.99870000000000003</v>
      </c>
    </row>
    <row r="44" spans="1:27" ht="20" customHeight="1" thickTop="1" x14ac:dyDescent="0.4">
      <c r="B44" s="27" t="str" cm="1">
        <f t="array" ref="B4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4" s="8" t="str">
        <f t="shared" si="0"/>
        <v>XGBoost</v>
      </c>
      <c r="D44" s="27"/>
      <c r="E44" s="8"/>
      <c r="F44" s="8" t="str" cm="1">
        <f t="array" aca="1" ref="F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/>
      </c>
      <c r="G44" s="8" t="str" cm="1">
        <f t="array" aca="1" ref="G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/>
      </c>
      <c r="H44" s="8" t="str" cm="1">
        <f t="array" aca="1" ref="H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/>
      </c>
      <c r="J44" s="8" t="str" cm="1">
        <f t="array" aca="1" ref="J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/>
      </c>
      <c r="K44" s="8" t="str" cm="1">
        <f t="array" aca="1" ref="K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/>
      </c>
      <c r="L44" s="8" t="str" cm="1">
        <f t="array" aca="1" ref="L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/>
      </c>
      <c r="M44" s="8" t="str" cm="1">
        <f t="array" aca="1" ref="M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/>
      </c>
      <c r="O44" s="8" t="str" cm="1">
        <f t="array" aca="1" ref="O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/>
      </c>
      <c r="P44" s="8" t="str" cm="1">
        <f t="array" aca="1" ref="P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/>
      </c>
      <c r="Q44" s="8" t="str" cm="1">
        <f t="array" aca="1" ref="Q44" ca="1">_xlfn.LET(
    _xlpm.sheet, $D$2,
    _xlpm.rowMatch, MATCH(
        TRIM($D44)&amp;"|"&amp;TRIM($C44),
        TRIM(INDIRECT(_xlpm.sheet &amp; "!A2:A45")) &amp; "|" &amp; TRIM(INDIRECT(_xlpm.sheet &amp; "!B2:B45")),
        0
    ),
    _xlpm.colMatch, MATCH(
        TRIM(Q$3),
        TRIM(INDIRECT(_xlpm.sheet &amp; "!C1:M1")),
        0
    ),
    _xlpm.val, IFERROR(INDEX(INDIRECT(_xlpm.sheet &amp; "!C2:M100"), _xlpm.rowMatch, _xlpm.colMatch), ""),
    IF(_xlpm.val="", "", _xlpm.val)
)</f>
        <v/>
      </c>
    </row>
    <row r="45" spans="1:27" ht="20" customHeight="1" x14ac:dyDescent="0.4">
      <c r="B45" s="11" t="str" cm="1">
        <f t="array" ref="B4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5" s="8" t="str">
        <f t="shared" si="0"/>
        <v>XGBoost</v>
      </c>
      <c r="F45" s="8" t="str" cm="1">
        <f t="array" aca="1" ref="F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/>
      </c>
      <c r="G45" s="8" t="str" cm="1">
        <f t="array" aca="1" ref="G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/>
      </c>
      <c r="H45" s="8" t="str" cm="1">
        <f t="array" aca="1" ref="H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/>
      </c>
      <c r="J45" s="8" t="str" cm="1">
        <f t="array" aca="1" ref="J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/>
      </c>
      <c r="K45" s="21" t="str" cm="1">
        <f t="array" aca="1" ref="K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/>
      </c>
      <c r="L45" s="8" t="str" cm="1">
        <f t="array" aca="1" ref="L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/>
      </c>
      <c r="M45" s="8" t="str" cm="1">
        <f t="array" aca="1" ref="M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/>
      </c>
      <c r="O45" s="8" t="str" cm="1">
        <f t="array" aca="1" ref="O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/>
      </c>
      <c r="P45" s="8" t="str" cm="1">
        <f t="array" aca="1" ref="P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/>
      </c>
      <c r="Q45" s="8" t="str" cm="1">
        <f t="array" aca="1" ref="Q45" ca="1">_xlfn.LET(
    _xlpm.sheet, $D$2,
    _xlpm.rowMatch, MATCH(
        TRIM($D45)&amp;"|"&amp;TRIM($C45),
        TRIM(INDIRECT(_xlpm.sheet &amp; "!A2:A45")) &amp; "|" &amp; TRIM(INDIRECT(_xlpm.sheet &amp; "!B2:B45")),
        0
    ),
    _xlpm.colMatch, MATCH(
        TRIM(Q$3),
        TRIM(INDIRECT(_xlpm.sheet &amp; "!C1:M1")),
        0
    ),
    _xlpm.val, IFERROR(INDEX(INDIRECT(_xlpm.sheet &amp; "!C2:M100"), _xlpm.rowMatch, _xlpm.colMatch), ""),
    IF(_xlpm.val="", "", _xlpm.val)
)</f>
        <v/>
      </c>
    </row>
    <row r="46" spans="1:27" ht="20" customHeight="1" x14ac:dyDescent="0.4">
      <c r="B46" s="11" t="str" cm="1">
        <f t="array" ref="B4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6" s="8" t="str">
        <f t="shared" si="0"/>
        <v>XGBoost</v>
      </c>
      <c r="F46" s="8" t="str" cm="1">
        <f t="array" aca="1" ref="F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/>
      </c>
      <c r="G46" s="8" t="str" cm="1">
        <f t="array" aca="1" ref="G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/>
      </c>
      <c r="H46" s="8" t="str" cm="1">
        <f t="array" aca="1" ref="H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/>
      </c>
      <c r="J46" s="8" t="str" cm="1">
        <f t="array" aca="1" ref="J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/>
      </c>
      <c r="K46" s="21" t="str" cm="1">
        <f t="array" aca="1" ref="K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/>
      </c>
      <c r="L46" s="8" t="str" cm="1">
        <f t="array" aca="1" ref="L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/>
      </c>
      <c r="M46" s="8" t="str" cm="1">
        <f t="array" aca="1" ref="M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/>
      </c>
      <c r="O46" s="8" t="str" cm="1">
        <f t="array" aca="1" ref="O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/>
      </c>
      <c r="P46" s="8" t="str" cm="1">
        <f t="array" aca="1" ref="P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/>
      </c>
      <c r="Q46" s="8" t="str" cm="1">
        <f t="array" aca="1" ref="Q46" ca="1">_xlfn.LET(
    _xlpm.sheet, $D$2,
    _xlpm.rowMatch, MATCH(
        TRIM($D46)&amp;"|"&amp;TRIM($C46),
        TRIM(INDIRECT(_xlpm.sheet &amp; "!A2:A45")) &amp; "|" &amp; TRIM(INDIRECT(_xlpm.sheet &amp; "!B2:B45")),
        0
    ),
    _xlpm.colMatch, MATCH(
        TRIM(Q$3),
        TRIM(INDIRECT(_xlpm.sheet &amp; "!C1:M1")),
        0
    ),
    _xlpm.val, IFERROR(INDEX(INDIRECT(_xlpm.sheet &amp; "!C2:M100"), _xlpm.rowMatch, _xlpm.colMatch), ""),
    IF(_xlpm.val="", "", _xlpm.val)
)</f>
        <v/>
      </c>
    </row>
    <row r="47" spans="1:27" s="5" customFormat="1" ht="20" customHeight="1" thickBot="1" x14ac:dyDescent="0.45">
      <c r="A47" s="8"/>
      <c r="B47" s="11" t="str" cm="1">
        <f t="array" ref="B4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7" s="5" t="str">
        <f t="shared" si="0"/>
        <v>XGBoost</v>
      </c>
      <c r="D47" s="28"/>
      <c r="E47" s="24"/>
      <c r="F47" s="8" t="str" cm="1">
        <f t="array" aca="1" ref="F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TRIM(F$3),
        TRIM(INDIRECT(_xlpm.sheet &amp; "!C1:M1")),
        0
    ),
    _xlpm.val, IFERROR(INDEX(INDIRECT(_xlpm.sheet &amp; "!C2:M100"), _xlpm.rowMatch, _xlpm.colMatch), ""),
    IF(_xlpm.val="", "", _xlpm.val)
)</f>
        <v/>
      </c>
      <c r="G47" s="8" t="str" cm="1">
        <f t="array" aca="1" ref="G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TRIM(G$3),
        TRIM(INDIRECT(_xlpm.sheet &amp; "!C1:M1")),
        0
    ),
    _xlpm.val, IFERROR(INDEX(INDIRECT(_xlpm.sheet &amp; "!C2:M100"), _xlpm.rowMatch, _xlpm.colMatch), ""),
    IF(_xlpm.val="", "", _xlpm.val)
)</f>
        <v/>
      </c>
      <c r="H47" s="8" t="str" cm="1">
        <f t="array" aca="1" ref="H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TRIM(H$3),
        TRIM(INDIRECT(_xlpm.sheet &amp; "!C1:M1")),
        0
    ),
    _xlpm.val, IFERROR(INDEX(INDIRECT(_xlpm.sheet &amp; "!C2:M100"), _xlpm.rowMatch, _xlpm.colMatch), ""),
    IF(_xlpm.val="", "", _xlpm.val)
)</f>
        <v/>
      </c>
      <c r="I47" s="8"/>
      <c r="J47" s="8" t="str" cm="1">
        <f t="array" aca="1" ref="J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TRIM(J$3),
        TRIM(INDIRECT(_xlpm.sheet &amp; "!C1:M1")),
        0
    ),
    _xlpm.val, IFERROR(INDEX(INDIRECT(_xlpm.sheet &amp; "!C2:M100"), _xlpm.rowMatch, _xlpm.colMatch), ""),
    IF(_xlpm.val="", "", _xlpm.val)
)</f>
        <v/>
      </c>
      <c r="K47" s="21" t="str" cm="1">
        <f t="array" aca="1" ref="K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TRIM(K$3),
        TRIM(INDIRECT(_xlpm.sheet &amp; "!C1:M1")),
        0
    ),
    _xlpm.val, IFERROR(INDEX(INDIRECT(_xlpm.sheet &amp; "!C2:M100"), _xlpm.rowMatch, _xlpm.colMatch), ""),
    IF(_xlpm.val="", "", _xlpm.val)
)</f>
        <v/>
      </c>
      <c r="L47" s="8" t="str" cm="1">
        <f t="array" aca="1" ref="L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TRIM(L$3),
        TRIM(INDIRECT(_xlpm.sheet &amp; "!C1:M1")),
        0
    ),
    _xlpm.val, IFERROR(INDEX(INDIRECT(_xlpm.sheet &amp; "!C2:M100"), _xlpm.rowMatch, _xlpm.colMatch), ""),
    IF(_xlpm.val="", "", _xlpm.val)
)</f>
        <v/>
      </c>
      <c r="M47" s="8" t="str" cm="1">
        <f t="array" aca="1" ref="M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TRIM(M$3),
        TRIM(INDIRECT(_xlpm.sheet &amp; "!C1:M1")),
        0
    ),
    _xlpm.val, IFERROR(INDEX(INDIRECT(_xlpm.sheet &amp; "!C2:M100"), _xlpm.rowMatch, _xlpm.colMatch), ""),
    IF(_xlpm.val="", "", _xlpm.val)
)</f>
        <v/>
      </c>
      <c r="N47" s="8"/>
      <c r="O47" s="8" t="str" cm="1">
        <f t="array" aca="1" ref="O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TRIM(O$3),
        TRIM(INDIRECT(_xlpm.sheet &amp; "!C1:M1")),
        0
    ),
    _xlpm.val, IFERROR(INDEX(INDIRECT(_xlpm.sheet &amp; "!C2:M100"), _xlpm.rowMatch, _xlpm.colMatch), ""),
    IF(_xlpm.val="", "", _xlpm.val)
)</f>
        <v/>
      </c>
      <c r="P47" s="8" t="str" cm="1">
        <f t="array" aca="1" ref="P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TRIM(P$3),
        TRIM(INDIRECT(_xlpm.sheet &amp; "!C1:M1")),
        0
    ),
    _xlpm.val, IFERROR(INDEX(INDIRECT(_xlpm.sheet &amp; "!C2:M100"), _xlpm.rowMatch, _xlpm.colMatch), ""),
    IF(_xlpm.val="", "", _xlpm.val)
)</f>
        <v/>
      </c>
      <c r="Q47" s="8" t="str" cm="1">
        <f t="array" aca="1" ref="Q47" ca="1">_xlfn.LET(
    _xlpm.sheet, $D$2,
    _xlpm.rowMatch, MATCH(
        TRIM($D47)&amp;"|"&amp;TRIM($C47),
        TRIM(INDIRECT(_xlpm.sheet &amp; "!A2:A45")) &amp; "|" &amp; TRIM(INDIRECT(_xlpm.sheet &amp; "!B2:B45")),
        0
    ),
    _xlpm.colMatch, MATCH(
        TRIM(Q$3),
        TRIM(INDIRECT(_xlpm.sheet &amp; "!C1:M1")),
        0
    ),
    _xlpm.val, IFERROR(INDEX(INDIRECT(_xlpm.sheet &amp; "!C2:M100"), _xlpm.rowMatch, _xlpm.colMatch), ""),
    IF(_xlpm.val="", "", _xlpm.val)
)</f>
        <v/>
      </c>
      <c r="R47" s="8"/>
    </row>
    <row r="48" spans="1:27" s="10" customFormat="1" ht="20" customHeight="1" thickTop="1" x14ac:dyDescent="0.4">
      <c r="A48" s="8"/>
      <c r="B48" s="11" t="str" cm="1">
        <f t="array" ref="B4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8" s="8" t="str">
        <f t="shared" si="0"/>
        <v>XGBoost</v>
      </c>
      <c r="D48" s="28"/>
      <c r="E48" s="24"/>
      <c r="F48" s="8" t="str" cm="1">
        <f t="array" ref="F48">_xlfn.LET(
    _xlpm.rowMatch, MATCH(TRIM($D48)&amp;"|"&amp;TRIM($C48),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48" s="8" t="str" cm="1">
        <f t="array" ref="G48">_xlfn.LET(
    _xlpm.rowMatch, MATCH(TRIM($D48)&amp;"|"&amp;TRIM($C48),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48" s="8" t="str" cm="1">
        <f t="array" ref="H48">_xlfn.LET(
    _xlpm.rowMatch, MATCH(TRIM($D48)&amp;"|"&amp;TRIM($C48),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I48" s="8"/>
      <c r="J48" s="8" t="str" cm="1">
        <f t="array" ref="J48">_xlfn.LET(
    _xlpm.rowMatch, MATCH(TRIM($D48)&amp;"|"&amp;TRIM($C48),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48" s="21" t="str" cm="1">
        <f t="array" ref="K48">_xlfn.LET(
    _xlpm.rowMatch, MATCH(TRIM($D48)&amp;"|"&amp;TRIM($C48),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48" s="8" t="str" cm="1">
        <f t="array" ref="L48">_xlfn.LET(
    _xlpm.rowMatch, MATCH(TRIM($D48)&amp;"|"&amp;TRIM($C48),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48" s="8" t="str" cm="1">
        <f t="array" ref="M48">_xlfn.LET(
    _xlpm.rowMatch, MATCH(TRIM($D48)&amp;"|"&amp;TRIM($C48),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N48" s="8"/>
      <c r="O48" s="8" t="str" cm="1">
        <f t="array" ref="O48">_xlfn.LET(
    _xlpm.rowMatch, MATCH(TRIM($D48)&amp;"|"&amp;TRIM($C48),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48" s="8" t="str" cm="1">
        <f t="array" ref="P48">_xlfn.LET(
    _xlpm.rowMatch, MATCH(TRIM($D48)&amp;"|"&amp;TRIM($C48),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48" s="8" t="str" cm="1">
        <f t="array" ref="Q48">_xlfn.LET(
    _xlpm.rowMatch, MATCH(TRIM($D48)&amp;"|"&amp;TRIM($C48),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  <c r="R48" s="8"/>
    </row>
    <row r="49" spans="2:17" ht="20" customHeight="1" x14ac:dyDescent="0.4">
      <c r="B49" s="11" t="str" cm="1">
        <f t="array" ref="B4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49" s="8" t="str">
        <f t="shared" si="0"/>
        <v>XGBoost</v>
      </c>
      <c r="F49" s="8" t="str" cm="1">
        <f t="array" ref="F49">_xlfn.LET(
    _xlpm.rowMatch, MATCH(TRIM($D49)&amp;"|"&amp;TRIM($C49),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49" s="8" t="str" cm="1">
        <f t="array" ref="G49">_xlfn.LET(
    _xlpm.rowMatch, MATCH(TRIM($D49)&amp;"|"&amp;TRIM($C49),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49" s="8" t="str" cm="1">
        <f t="array" ref="H49">_xlfn.LET(
    _xlpm.rowMatch, MATCH(TRIM($D49)&amp;"|"&amp;TRIM($C49),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49" s="8" t="str" cm="1">
        <f t="array" ref="J49">_xlfn.LET(
    _xlpm.rowMatch, MATCH(TRIM($D49)&amp;"|"&amp;TRIM($C49),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49" s="21" t="str" cm="1">
        <f t="array" ref="K49">_xlfn.LET(
    _xlpm.rowMatch, MATCH(TRIM($D49)&amp;"|"&amp;TRIM($C49),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49" s="8" t="str" cm="1">
        <f t="array" ref="L49">_xlfn.LET(
    _xlpm.rowMatch, MATCH(TRIM($D49)&amp;"|"&amp;TRIM($C49),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49" s="8" t="str" cm="1">
        <f t="array" ref="M49">_xlfn.LET(
    _xlpm.rowMatch, MATCH(TRIM($D49)&amp;"|"&amp;TRIM($C49),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49" s="8" t="str" cm="1">
        <f t="array" ref="O49">_xlfn.LET(
    _xlpm.rowMatch, MATCH(TRIM($D49)&amp;"|"&amp;TRIM($C49),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49" s="8" t="str" cm="1">
        <f t="array" ref="P49">_xlfn.LET(
    _xlpm.rowMatch, MATCH(TRIM($D49)&amp;"|"&amp;TRIM($C49),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49" s="8" t="str" cm="1">
        <f t="array" ref="Q49">_xlfn.LET(
    _xlpm.rowMatch, MATCH(TRIM($D49)&amp;"|"&amp;TRIM($C49),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0" spans="2:17" ht="20" customHeight="1" x14ac:dyDescent="0.4">
      <c r="B50" s="11" t="str" cm="1">
        <f t="array" ref="B5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0" s="8" t="str">
        <f t="shared" si="0"/>
        <v>XGBoost</v>
      </c>
      <c r="F50" s="8" t="str" cm="1">
        <f t="array" ref="F50">_xlfn.LET(
    _xlpm.rowMatch, MATCH(TRIM($D50)&amp;"|"&amp;TRIM($C50),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0" s="8" t="str" cm="1">
        <f t="array" ref="G50">_xlfn.LET(
    _xlpm.rowMatch, MATCH(TRIM($D50)&amp;"|"&amp;TRIM($C50),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0" s="8" t="str" cm="1">
        <f t="array" ref="H50">_xlfn.LET(
    _xlpm.rowMatch, MATCH(TRIM($D50)&amp;"|"&amp;TRIM($C50),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0" s="8" t="str" cm="1">
        <f t="array" ref="J50">_xlfn.LET(
    _xlpm.rowMatch, MATCH(TRIM($D50)&amp;"|"&amp;TRIM($C50),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0" s="21" t="str" cm="1">
        <f t="array" ref="K50">_xlfn.LET(
    _xlpm.rowMatch, MATCH(TRIM($D50)&amp;"|"&amp;TRIM($C50),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0" s="8" t="str" cm="1">
        <f t="array" ref="L50">_xlfn.LET(
    _xlpm.rowMatch, MATCH(TRIM($D50)&amp;"|"&amp;TRIM($C50),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0" s="8" t="str" cm="1">
        <f t="array" ref="M50">_xlfn.LET(
    _xlpm.rowMatch, MATCH(TRIM($D50)&amp;"|"&amp;TRIM($C50),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0" s="8" t="str" cm="1">
        <f t="array" ref="O50">_xlfn.LET(
    _xlpm.rowMatch, MATCH(TRIM($D50)&amp;"|"&amp;TRIM($C50),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0" s="8" t="str" cm="1">
        <f t="array" ref="P50">_xlfn.LET(
    _xlpm.rowMatch, MATCH(TRIM($D50)&amp;"|"&amp;TRIM($C50),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0" s="8" t="str" cm="1">
        <f t="array" ref="Q50">_xlfn.LET(
    _xlpm.rowMatch, MATCH(TRIM($D50)&amp;"|"&amp;TRIM($C50),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1" spans="2:17" ht="20" customHeight="1" x14ac:dyDescent="0.4">
      <c r="B51" s="11" t="str" cm="1">
        <f t="array" ref="B5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1" s="8" t="str">
        <f t="shared" si="0"/>
        <v>XGBoost</v>
      </c>
      <c r="F51" s="8" t="str" cm="1">
        <f t="array" ref="F51">_xlfn.LET(
    _xlpm.rowMatch, MATCH(TRIM($D51)&amp;"|"&amp;TRIM($C51),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1" s="8" t="str" cm="1">
        <f t="array" ref="G51">_xlfn.LET(
    _xlpm.rowMatch, MATCH(TRIM($D51)&amp;"|"&amp;TRIM($C51),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1" s="8" t="str" cm="1">
        <f t="array" ref="H51">_xlfn.LET(
    _xlpm.rowMatch, MATCH(TRIM($D51)&amp;"|"&amp;TRIM($C51),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1" s="8" t="str" cm="1">
        <f t="array" ref="J51">_xlfn.LET(
    _xlpm.rowMatch, MATCH(TRIM($D51)&amp;"|"&amp;TRIM($C51),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1" s="21" t="str" cm="1">
        <f t="array" ref="K51">_xlfn.LET(
    _xlpm.rowMatch, MATCH(TRIM($D51)&amp;"|"&amp;TRIM($C51),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1" s="8" t="str" cm="1">
        <f t="array" ref="L51">_xlfn.LET(
    _xlpm.rowMatch, MATCH(TRIM($D51)&amp;"|"&amp;TRIM($C51),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1" s="8" t="str" cm="1">
        <f t="array" ref="M51">_xlfn.LET(
    _xlpm.rowMatch, MATCH(TRIM($D51)&amp;"|"&amp;TRIM($C51),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1" s="8" t="str" cm="1">
        <f t="array" ref="O51">_xlfn.LET(
    _xlpm.rowMatch, MATCH(TRIM($D51)&amp;"|"&amp;TRIM($C51),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1" s="8" t="str" cm="1">
        <f t="array" ref="P51">_xlfn.LET(
    _xlpm.rowMatch, MATCH(TRIM($D51)&amp;"|"&amp;TRIM($C51),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1" s="8" t="str" cm="1">
        <f t="array" ref="Q51">_xlfn.LET(
    _xlpm.rowMatch, MATCH(TRIM($D51)&amp;"|"&amp;TRIM($C51),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2" spans="2:17" ht="20" customHeight="1" x14ac:dyDescent="0.4">
      <c r="B52" s="11" t="str" cm="1">
        <f t="array" ref="B5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2" s="8" t="str">
        <f t="shared" si="0"/>
        <v>XGBoost</v>
      </c>
      <c r="F52" s="8" t="str" cm="1">
        <f t="array" ref="F52">_xlfn.LET(
    _xlpm.rowMatch, MATCH(TRIM($D52)&amp;"|"&amp;TRIM($C52),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2" s="8" t="str" cm="1">
        <f t="array" ref="G52">_xlfn.LET(
    _xlpm.rowMatch, MATCH(TRIM($D52)&amp;"|"&amp;TRIM($C52),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2" s="8" t="str" cm="1">
        <f t="array" ref="H52">_xlfn.LET(
    _xlpm.rowMatch, MATCH(TRIM($D52)&amp;"|"&amp;TRIM($C52),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2" s="8" t="str" cm="1">
        <f t="array" ref="J52">_xlfn.LET(
    _xlpm.rowMatch, MATCH(TRIM($D52)&amp;"|"&amp;TRIM($C52),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2" s="21" t="str" cm="1">
        <f t="array" ref="K52">_xlfn.LET(
    _xlpm.rowMatch, MATCH(TRIM($D52)&amp;"|"&amp;TRIM($C52),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2" s="8" t="str" cm="1">
        <f t="array" ref="L52">_xlfn.LET(
    _xlpm.rowMatch, MATCH(TRIM($D52)&amp;"|"&amp;TRIM($C52),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2" s="8" t="str" cm="1">
        <f t="array" ref="M52">_xlfn.LET(
    _xlpm.rowMatch, MATCH(TRIM($D52)&amp;"|"&amp;TRIM($C52),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2" s="8" t="str" cm="1">
        <f t="array" ref="O52">_xlfn.LET(
    _xlpm.rowMatch, MATCH(TRIM($D52)&amp;"|"&amp;TRIM($C52),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2" s="8" t="str" cm="1">
        <f t="array" ref="P52">_xlfn.LET(
    _xlpm.rowMatch, MATCH(TRIM($D52)&amp;"|"&amp;TRIM($C52),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2" s="8" t="str" cm="1">
        <f t="array" ref="Q52">_xlfn.LET(
    _xlpm.rowMatch, MATCH(TRIM($D52)&amp;"|"&amp;TRIM($C52),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3" spans="2:17" ht="20" customHeight="1" x14ac:dyDescent="0.4">
      <c r="B53" s="11" t="str" cm="1">
        <f t="array" ref="B5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3" s="8" t="str">
        <f t="shared" si="0"/>
        <v>XGBoost</v>
      </c>
      <c r="F53" s="8" t="str" cm="1">
        <f t="array" ref="F53">_xlfn.LET(
    _xlpm.rowMatch, MATCH(TRIM($D53)&amp;"|"&amp;TRIM($C53),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3" s="8" t="str" cm="1">
        <f t="array" ref="G53">_xlfn.LET(
    _xlpm.rowMatch, MATCH(TRIM($D53)&amp;"|"&amp;TRIM($C53),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3" s="8" t="str" cm="1">
        <f t="array" ref="H53">_xlfn.LET(
    _xlpm.rowMatch, MATCH(TRIM($D53)&amp;"|"&amp;TRIM($C53),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3" s="8" t="str" cm="1">
        <f t="array" ref="J53">_xlfn.LET(
    _xlpm.rowMatch, MATCH(TRIM($D53)&amp;"|"&amp;TRIM($C53),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3" s="21" t="str" cm="1">
        <f t="array" ref="K53">_xlfn.LET(
    _xlpm.rowMatch, MATCH(TRIM($D53)&amp;"|"&amp;TRIM($C53),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3" s="8" t="str" cm="1">
        <f t="array" ref="L53">_xlfn.LET(
    _xlpm.rowMatch, MATCH(TRIM($D53)&amp;"|"&amp;TRIM($C53),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3" s="8" t="str" cm="1">
        <f t="array" ref="M53">_xlfn.LET(
    _xlpm.rowMatch, MATCH(TRIM($D53)&amp;"|"&amp;TRIM($C53),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3" s="8" t="str" cm="1">
        <f t="array" ref="O53">_xlfn.LET(
    _xlpm.rowMatch, MATCH(TRIM($D53)&amp;"|"&amp;TRIM($C53),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3" s="8" t="str" cm="1">
        <f t="array" ref="P53">_xlfn.LET(
    _xlpm.rowMatch, MATCH(TRIM($D53)&amp;"|"&amp;TRIM($C53),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3" s="8" t="str" cm="1">
        <f t="array" ref="Q53">_xlfn.LET(
    _xlpm.rowMatch, MATCH(TRIM($D53)&amp;"|"&amp;TRIM($C53),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4" spans="2:17" ht="20" customHeight="1" x14ac:dyDescent="0.4">
      <c r="B54" s="11" t="str" cm="1">
        <f t="array" ref="B5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4" s="8" t="str">
        <f t="shared" si="0"/>
        <v>XGBoost</v>
      </c>
      <c r="F54" s="8" t="str" cm="1">
        <f t="array" ref="F54">_xlfn.LET(
    _xlpm.rowMatch, MATCH(TRIM($D54)&amp;"|"&amp;TRIM($C54),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4" s="8" t="str" cm="1">
        <f t="array" ref="G54">_xlfn.LET(
    _xlpm.rowMatch, MATCH(TRIM($D54)&amp;"|"&amp;TRIM($C54),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4" s="8" t="str" cm="1">
        <f t="array" ref="H54">_xlfn.LET(
    _xlpm.rowMatch, MATCH(TRIM($D54)&amp;"|"&amp;TRIM($C54),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4" s="8" t="str" cm="1">
        <f t="array" ref="J54">_xlfn.LET(
    _xlpm.rowMatch, MATCH(TRIM($D54)&amp;"|"&amp;TRIM($C54),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4" s="21" t="str" cm="1">
        <f t="array" ref="K54">_xlfn.LET(
    _xlpm.rowMatch, MATCH(TRIM($D54)&amp;"|"&amp;TRIM($C54),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4" s="8" t="str" cm="1">
        <f t="array" ref="L54">_xlfn.LET(
    _xlpm.rowMatch, MATCH(TRIM($D54)&amp;"|"&amp;TRIM($C54),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4" s="8" t="str" cm="1">
        <f t="array" ref="M54">_xlfn.LET(
    _xlpm.rowMatch, MATCH(TRIM($D54)&amp;"|"&amp;TRIM($C54),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4" s="8" t="str" cm="1">
        <f t="array" ref="O54">_xlfn.LET(
    _xlpm.rowMatch, MATCH(TRIM($D54)&amp;"|"&amp;TRIM($C54),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4" s="8" t="str" cm="1">
        <f t="array" ref="P54">_xlfn.LET(
    _xlpm.rowMatch, MATCH(TRIM($D54)&amp;"|"&amp;TRIM($C54),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4" s="8" t="str" cm="1">
        <f t="array" ref="Q54">_xlfn.LET(
    _xlpm.rowMatch, MATCH(TRIM($D54)&amp;"|"&amp;TRIM($C54),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5" spans="2:17" ht="20" customHeight="1" x14ac:dyDescent="0.4">
      <c r="B55" s="11" t="str" cm="1">
        <f t="array" ref="B5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5" s="8" t="str">
        <f t="shared" si="0"/>
        <v>XGBoost</v>
      </c>
      <c r="F55" s="8" t="str" cm="1">
        <f t="array" ref="F55">_xlfn.LET(
    _xlpm.rowMatch, MATCH(TRIM($D55)&amp;"|"&amp;TRIM($C55),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5" s="8" t="str" cm="1">
        <f t="array" ref="G55">_xlfn.LET(
    _xlpm.rowMatch, MATCH(TRIM($D55)&amp;"|"&amp;TRIM($C55),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5" s="8" t="str" cm="1">
        <f t="array" ref="H55">_xlfn.LET(
    _xlpm.rowMatch, MATCH(TRIM($D55)&amp;"|"&amp;TRIM($C55),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5" s="8" t="str" cm="1">
        <f t="array" ref="J55">_xlfn.LET(
    _xlpm.rowMatch, MATCH(TRIM($D55)&amp;"|"&amp;TRIM($C55),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5" s="21" t="str" cm="1">
        <f t="array" ref="K55">_xlfn.LET(
    _xlpm.rowMatch, MATCH(TRIM($D55)&amp;"|"&amp;TRIM($C55),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5" s="8" t="str" cm="1">
        <f t="array" ref="L55">_xlfn.LET(
    _xlpm.rowMatch, MATCH(TRIM($D55)&amp;"|"&amp;TRIM($C55),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5" s="8" t="str" cm="1">
        <f t="array" ref="M55">_xlfn.LET(
    _xlpm.rowMatch, MATCH(TRIM($D55)&amp;"|"&amp;TRIM($C55),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5" s="8" t="str" cm="1">
        <f t="array" ref="O55">_xlfn.LET(
    _xlpm.rowMatch, MATCH(TRIM($D55)&amp;"|"&amp;TRIM($C55),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5" s="8" t="str" cm="1">
        <f t="array" ref="P55">_xlfn.LET(
    _xlpm.rowMatch, MATCH(TRIM($D55)&amp;"|"&amp;TRIM($C55),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5" s="8" t="str" cm="1">
        <f t="array" ref="Q55">_xlfn.LET(
    _xlpm.rowMatch, MATCH(TRIM($D55)&amp;"|"&amp;TRIM($C55),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6" spans="2:17" ht="20" customHeight="1" x14ac:dyDescent="0.4">
      <c r="B56" s="11" t="str" cm="1">
        <f t="array" ref="B5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6" s="8" t="str">
        <f t="shared" si="0"/>
        <v>XGBoost</v>
      </c>
      <c r="F56" s="8" t="str" cm="1">
        <f t="array" ref="F56">_xlfn.LET(
    _xlpm.rowMatch, MATCH(TRIM($D56)&amp;"|"&amp;TRIM($C56),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6" s="8" t="str" cm="1">
        <f t="array" ref="G56">_xlfn.LET(
    _xlpm.rowMatch, MATCH(TRIM($D56)&amp;"|"&amp;TRIM($C56),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6" s="8" t="str" cm="1">
        <f t="array" ref="H56">_xlfn.LET(
    _xlpm.rowMatch, MATCH(TRIM($D56)&amp;"|"&amp;TRIM($C56),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6" s="8" t="str" cm="1">
        <f t="array" ref="J56">_xlfn.LET(
    _xlpm.rowMatch, MATCH(TRIM($D56)&amp;"|"&amp;TRIM($C56),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6" s="21" t="str" cm="1">
        <f t="array" ref="K56">_xlfn.LET(
    _xlpm.rowMatch, MATCH(TRIM($D56)&amp;"|"&amp;TRIM($C56),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6" s="8" t="str" cm="1">
        <f t="array" ref="L56">_xlfn.LET(
    _xlpm.rowMatch, MATCH(TRIM($D56)&amp;"|"&amp;TRIM($C56),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6" s="8" t="str" cm="1">
        <f t="array" ref="M56">_xlfn.LET(
    _xlpm.rowMatch, MATCH(TRIM($D56)&amp;"|"&amp;TRIM($C56),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6" s="8" t="str" cm="1">
        <f t="array" ref="O56">_xlfn.LET(
    _xlpm.rowMatch, MATCH(TRIM($D56)&amp;"|"&amp;TRIM($C56),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6" s="8" t="str" cm="1">
        <f t="array" ref="P56">_xlfn.LET(
    _xlpm.rowMatch, MATCH(TRIM($D56)&amp;"|"&amp;TRIM($C56),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6" s="8" t="str" cm="1">
        <f t="array" ref="Q56">_xlfn.LET(
    _xlpm.rowMatch, MATCH(TRIM($D56)&amp;"|"&amp;TRIM($C56),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7" spans="2:17" ht="20" customHeight="1" x14ac:dyDescent="0.4">
      <c r="B57" s="11" t="str" cm="1">
        <f t="array" ref="B5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7" s="8" t="str">
        <f t="shared" si="0"/>
        <v>XGBoost</v>
      </c>
      <c r="F57" s="8" t="str" cm="1">
        <f t="array" ref="F57">_xlfn.LET(
    _xlpm.rowMatch, MATCH(TRIM($D57)&amp;"|"&amp;TRIM($C57),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7" s="8" t="str" cm="1">
        <f t="array" ref="G57">_xlfn.LET(
    _xlpm.rowMatch, MATCH(TRIM($D57)&amp;"|"&amp;TRIM($C57),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7" s="8" t="str" cm="1">
        <f t="array" ref="H57">_xlfn.LET(
    _xlpm.rowMatch, MATCH(TRIM($D57)&amp;"|"&amp;TRIM($C57),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7" s="8" t="str" cm="1">
        <f t="array" ref="J57">_xlfn.LET(
    _xlpm.rowMatch, MATCH(TRIM($D57)&amp;"|"&amp;TRIM($C57),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7" s="21" t="str" cm="1">
        <f t="array" ref="K57">_xlfn.LET(
    _xlpm.rowMatch, MATCH(TRIM($D57)&amp;"|"&amp;TRIM($C57),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7" s="8" t="str" cm="1">
        <f t="array" ref="L57">_xlfn.LET(
    _xlpm.rowMatch, MATCH(TRIM($D57)&amp;"|"&amp;TRIM($C57),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7" s="8" t="str" cm="1">
        <f t="array" ref="M57">_xlfn.LET(
    _xlpm.rowMatch, MATCH(TRIM($D57)&amp;"|"&amp;TRIM($C57),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7" s="8" t="str" cm="1">
        <f t="array" ref="O57">_xlfn.LET(
    _xlpm.rowMatch, MATCH(TRIM($D57)&amp;"|"&amp;TRIM($C57),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7" s="8" t="str" cm="1">
        <f t="array" ref="P57">_xlfn.LET(
    _xlpm.rowMatch, MATCH(TRIM($D57)&amp;"|"&amp;TRIM($C57),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7" s="8" t="str" cm="1">
        <f t="array" ref="Q57">_xlfn.LET(
    _xlpm.rowMatch, MATCH(TRIM($D57)&amp;"|"&amp;TRIM($C57),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8" spans="2:17" ht="20" customHeight="1" x14ac:dyDescent="0.4">
      <c r="B58" s="11" t="str" cm="1">
        <f t="array" ref="B5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8" s="8" t="str">
        <f t="shared" si="0"/>
        <v>XGBoost</v>
      </c>
      <c r="F58" s="8" t="str" cm="1">
        <f t="array" ref="F58">_xlfn.LET(
    _xlpm.rowMatch, MATCH(TRIM($D58)&amp;"|"&amp;TRIM($C58),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8" s="8" t="str" cm="1">
        <f t="array" ref="G58">_xlfn.LET(
    _xlpm.rowMatch, MATCH(TRIM($D58)&amp;"|"&amp;TRIM($C58),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8" s="8" t="str" cm="1">
        <f t="array" ref="H58">_xlfn.LET(
    _xlpm.rowMatch, MATCH(TRIM($D58)&amp;"|"&amp;TRIM($C58),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8" s="8" t="str" cm="1">
        <f t="array" ref="J58">_xlfn.LET(
    _xlpm.rowMatch, MATCH(TRIM($D58)&amp;"|"&amp;TRIM($C58),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8" s="21" t="str" cm="1">
        <f t="array" ref="K58">_xlfn.LET(
    _xlpm.rowMatch, MATCH(TRIM($D58)&amp;"|"&amp;TRIM($C58),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8" s="8" t="str" cm="1">
        <f t="array" ref="L58">_xlfn.LET(
    _xlpm.rowMatch, MATCH(TRIM($D58)&amp;"|"&amp;TRIM($C58),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8" s="8" t="str" cm="1">
        <f t="array" ref="M58">_xlfn.LET(
    _xlpm.rowMatch, MATCH(TRIM($D58)&amp;"|"&amp;TRIM($C58),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8" s="8" t="str" cm="1">
        <f t="array" ref="O58">_xlfn.LET(
    _xlpm.rowMatch, MATCH(TRIM($D58)&amp;"|"&amp;TRIM($C58),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8" s="8" t="str" cm="1">
        <f t="array" ref="P58">_xlfn.LET(
    _xlpm.rowMatch, MATCH(TRIM($D58)&amp;"|"&amp;TRIM($C58),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8" s="8" t="str" cm="1">
        <f t="array" ref="Q58">_xlfn.LET(
    _xlpm.rowMatch, MATCH(TRIM($D58)&amp;"|"&amp;TRIM($C58),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59" spans="2:17" ht="20" customHeight="1" x14ac:dyDescent="0.4">
      <c r="B59" s="11" t="str" cm="1">
        <f t="array" ref="B5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59" s="8" t="str">
        <f t="shared" si="0"/>
        <v>XGBoost</v>
      </c>
      <c r="F59" s="8" t="str" cm="1">
        <f t="array" ref="F59">_xlfn.LET(
    _xlpm.rowMatch, MATCH(TRIM($D59)&amp;"|"&amp;TRIM($C59),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59" s="8" t="str" cm="1">
        <f t="array" ref="G59">_xlfn.LET(
    _xlpm.rowMatch, MATCH(TRIM($D59)&amp;"|"&amp;TRIM($C59),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59" s="8" t="str" cm="1">
        <f t="array" ref="H59">_xlfn.LET(
    _xlpm.rowMatch, MATCH(TRIM($D59)&amp;"|"&amp;TRIM($C59),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59" s="8" t="str" cm="1">
        <f t="array" ref="J59">_xlfn.LET(
    _xlpm.rowMatch, MATCH(TRIM($D59)&amp;"|"&amp;TRIM($C59),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59" s="21" t="str" cm="1">
        <f t="array" ref="K59">_xlfn.LET(
    _xlpm.rowMatch, MATCH(TRIM($D59)&amp;"|"&amp;TRIM($C59),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59" s="8" t="str" cm="1">
        <f t="array" ref="L59">_xlfn.LET(
    _xlpm.rowMatch, MATCH(TRIM($D59)&amp;"|"&amp;TRIM($C59),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59" s="8" t="str" cm="1">
        <f t="array" ref="M59">_xlfn.LET(
    _xlpm.rowMatch, MATCH(TRIM($D59)&amp;"|"&amp;TRIM($C59),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59" s="8" t="str" cm="1">
        <f t="array" ref="O59">_xlfn.LET(
    _xlpm.rowMatch, MATCH(TRIM($D59)&amp;"|"&amp;TRIM($C59),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59" s="8" t="str" cm="1">
        <f t="array" ref="P59">_xlfn.LET(
    _xlpm.rowMatch, MATCH(TRIM($D59)&amp;"|"&amp;TRIM($C59),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59" s="8" t="str" cm="1">
        <f t="array" ref="Q59">_xlfn.LET(
    _xlpm.rowMatch, MATCH(TRIM($D59)&amp;"|"&amp;TRIM($C59),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60" spans="2:17" ht="20" customHeight="1" x14ac:dyDescent="0.4">
      <c r="B60" s="11" t="str" cm="1">
        <f t="array" ref="B6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60" s="8" t="str">
        <f t="shared" si="0"/>
        <v>XGBoost</v>
      </c>
      <c r="F60" s="8" t="str" cm="1">
        <f t="array" ref="F60">_xlfn.LET(
    _xlpm.rowMatch, MATCH(TRIM($D60)&amp;"|"&amp;TRIM($C60),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60" s="8" t="str" cm="1">
        <f t="array" ref="G60">_xlfn.LET(
    _xlpm.rowMatch, MATCH(TRIM($D60)&amp;"|"&amp;TRIM($C60),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60" s="8" t="str" cm="1">
        <f t="array" ref="H60">_xlfn.LET(
    _xlpm.rowMatch, MATCH(TRIM($D60)&amp;"|"&amp;TRIM($C60),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60" s="8" t="str" cm="1">
        <f t="array" ref="J60">_xlfn.LET(
    _xlpm.rowMatch, MATCH(TRIM($D60)&amp;"|"&amp;TRIM($C60),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60" s="21" t="str" cm="1">
        <f t="array" ref="K60">_xlfn.LET(
    _xlpm.rowMatch, MATCH(TRIM($D60)&amp;"|"&amp;TRIM($C60),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60" s="8" t="str" cm="1">
        <f t="array" ref="L60">_xlfn.LET(
    _xlpm.rowMatch, MATCH(TRIM($D60)&amp;"|"&amp;TRIM($C60),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60" s="8" t="str" cm="1">
        <f t="array" ref="M60">_xlfn.LET(
    _xlpm.rowMatch, MATCH(TRIM($D60)&amp;"|"&amp;TRIM($C60),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60" s="8" t="str" cm="1">
        <f t="array" ref="O60">_xlfn.LET(
    _xlpm.rowMatch, MATCH(TRIM($D60)&amp;"|"&amp;TRIM($C60),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60" s="8" t="str" cm="1">
        <f t="array" ref="P60">_xlfn.LET(
    _xlpm.rowMatch, MATCH(TRIM($D60)&amp;"|"&amp;TRIM($C60),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60" s="8" t="str" cm="1">
        <f t="array" ref="Q60">_xlfn.LET(
    _xlpm.rowMatch, MATCH(TRIM($D60)&amp;"|"&amp;TRIM($C60),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61" spans="2:17" ht="20" customHeight="1" x14ac:dyDescent="0.4">
      <c r="B61" s="11" t="str" cm="1">
        <f t="array" ref="B6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61" s="8" t="str">
        <f t="shared" si="0"/>
        <v>XGBoost</v>
      </c>
      <c r="F61" s="8" t="str" cm="1">
        <f t="array" ref="F61">_xlfn.LET(
    _xlpm.rowMatch, MATCH(TRIM($D61)&amp;"|"&amp;TRIM($C61),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61" s="8" t="str" cm="1">
        <f t="array" ref="G61">_xlfn.LET(
    _xlpm.rowMatch, MATCH(TRIM($D61)&amp;"|"&amp;TRIM($C61),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61" s="8" t="str" cm="1">
        <f t="array" ref="H61">_xlfn.LET(
    _xlpm.rowMatch, MATCH(TRIM($D61)&amp;"|"&amp;TRIM($C61),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61" s="8" t="str" cm="1">
        <f t="array" ref="J61">_xlfn.LET(
    _xlpm.rowMatch, MATCH(TRIM($D61)&amp;"|"&amp;TRIM($C61),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61" s="21" t="str" cm="1">
        <f t="array" ref="K61">_xlfn.LET(
    _xlpm.rowMatch, MATCH(TRIM($D61)&amp;"|"&amp;TRIM($C61),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61" s="8" t="str" cm="1">
        <f t="array" ref="L61">_xlfn.LET(
    _xlpm.rowMatch, MATCH(TRIM($D61)&amp;"|"&amp;TRIM($C61),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61" s="8" t="str" cm="1">
        <f t="array" ref="M61">_xlfn.LET(
    _xlpm.rowMatch, MATCH(TRIM($D61)&amp;"|"&amp;TRIM($C61),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61" s="8" t="str" cm="1">
        <f t="array" ref="O61">_xlfn.LET(
    _xlpm.rowMatch, MATCH(TRIM($D61)&amp;"|"&amp;TRIM($C61),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61" s="8" t="str" cm="1">
        <f t="array" ref="P61">_xlfn.LET(
    _xlpm.rowMatch, MATCH(TRIM($D61)&amp;"|"&amp;TRIM($C61),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61" s="8" t="str" cm="1">
        <f t="array" ref="Q61">_xlfn.LET(
    _xlpm.rowMatch, MATCH(TRIM($D61)&amp;"|"&amp;TRIM($C61),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62" spans="2:17" ht="20" customHeight="1" x14ac:dyDescent="0.4">
      <c r="B62" s="11" t="str" cm="1">
        <f t="array" ref="B6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62" s="8" t="str">
        <f t="shared" si="0"/>
        <v>XGBoost</v>
      </c>
      <c r="F62" s="8" t="str" cm="1">
        <f t="array" ref="F62">_xlfn.LET(
    _xlpm.rowMatch, MATCH(TRIM($D62)&amp;"|"&amp;TRIM($C62),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62" s="8" t="str" cm="1">
        <f t="array" ref="G62">_xlfn.LET(
    _xlpm.rowMatch, MATCH(TRIM($D62)&amp;"|"&amp;TRIM($C62),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62" s="8" t="str" cm="1">
        <f t="array" ref="H62">_xlfn.LET(
    _xlpm.rowMatch, MATCH(TRIM($D62)&amp;"|"&amp;TRIM($C62),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62" s="8" t="str" cm="1">
        <f t="array" ref="J62">_xlfn.LET(
    _xlpm.rowMatch, MATCH(TRIM($D62)&amp;"|"&amp;TRIM($C62),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62" s="21" t="str" cm="1">
        <f t="array" ref="K62">_xlfn.LET(
    _xlpm.rowMatch, MATCH(TRIM($D62)&amp;"|"&amp;TRIM($C62),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62" s="8" t="str" cm="1">
        <f t="array" ref="L62">_xlfn.LET(
    _xlpm.rowMatch, MATCH(TRIM($D62)&amp;"|"&amp;TRIM($C62),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62" s="8" t="str" cm="1">
        <f t="array" ref="M62">_xlfn.LET(
    _xlpm.rowMatch, MATCH(TRIM($D62)&amp;"|"&amp;TRIM($C62),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62" s="8" t="str" cm="1">
        <f t="array" ref="O62">_xlfn.LET(
    _xlpm.rowMatch, MATCH(TRIM($D62)&amp;"|"&amp;TRIM($C62),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62" s="8" t="str" cm="1">
        <f t="array" ref="P62">_xlfn.LET(
    _xlpm.rowMatch, MATCH(TRIM($D62)&amp;"|"&amp;TRIM($C62),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62" s="8" t="str" cm="1">
        <f t="array" ref="Q62">_xlfn.LET(
    _xlpm.rowMatch, MATCH(TRIM($D62)&amp;"|"&amp;TRIM($C62),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63" spans="2:17" ht="20" customHeight="1" x14ac:dyDescent="0.4">
      <c r="B63" s="11" t="str" cm="1">
        <f t="array" ref="B6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63" s="8" t="str">
        <f t="shared" si="0"/>
        <v>XGBoost</v>
      </c>
      <c r="F63" s="8" t="str" cm="1">
        <f t="array" ref="F63">_xlfn.LET(
    _xlpm.rowMatch, MATCH(TRIM($D63)&amp;"|"&amp;TRIM($C63), TRIM(Result00!$A$2:$A$45) &amp;"|"&amp; TRIM(Result00!$B$2:$B$45), 0),
    _xlpm.colMatch, MATCH(TRIM(F$3), TRIM(Result00!$C$1:$L$1), 0),
    _xlpm.val, IFERROR(INDEX(Result00!$C$2:$L$45, _xlpm.rowMatch, _xlpm.colMatch), ""),
    IF(_xlpm.val="", "", _xlpm.val)
)</f>
        <v/>
      </c>
      <c r="G63" s="8" t="str" cm="1">
        <f t="array" ref="G63">_xlfn.LET(
    _xlpm.rowMatch, MATCH(TRIM($D63)&amp;"|"&amp;TRIM($C63), TRIM(Result00!$A$2:$A$45) &amp;"|"&amp; TRIM(Result00!$B$2:$B$45), 0),
    _xlpm.colMatch, MATCH(TRIM(G$3), TRIM(Result00!$C$1:$L$1), 0),
    _xlpm.val, IFERROR(INDEX(Result00!$C$2:$L$45, _xlpm.rowMatch, _xlpm.colMatch), ""),
    IF(_xlpm.val="", "", _xlpm.val)
)</f>
        <v/>
      </c>
      <c r="H63" s="8" t="str" cm="1">
        <f t="array" ref="H63">_xlfn.LET(
    _xlpm.rowMatch, MATCH(TRIM($D63)&amp;"|"&amp;TRIM($C63), TRIM(Result00!$A$2:$A$45) &amp;"|"&amp; TRIM(Result00!$B$2:$B$45), 0),
    _xlpm.colMatch, MATCH(TRIM(H$3), TRIM(Result00!$C$1:$L$1), 0),
    _xlpm.val, IFERROR(INDEX(Result00!$C$2:$L$45, _xlpm.rowMatch, _xlpm.colMatch), ""),
    IF(_xlpm.val="", "", _xlpm.val)
)</f>
        <v/>
      </c>
      <c r="J63" s="8" t="str" cm="1">
        <f t="array" ref="J63">_xlfn.LET(
    _xlpm.rowMatch, MATCH(TRIM($D63)&amp;"|"&amp;TRIM($C63), TRIM(Result00!$A$2:$A$45) &amp;"|"&amp; TRIM(Result00!$B$2:$B$45), 0),
    _xlpm.colMatch, MATCH(TRIM(J$3), TRIM(Result00!$C$1:$L$1), 0),
    _xlpm.val, IFERROR(INDEX(Result00!$C$2:$L$45, _xlpm.rowMatch, _xlpm.colMatch), ""),
    IF(_xlpm.val="", "", _xlpm.val)
)</f>
        <v/>
      </c>
      <c r="K63" s="21" t="str" cm="1">
        <f t="array" ref="K63">_xlfn.LET(
    _xlpm.rowMatch, MATCH(TRIM($D63)&amp;"|"&amp;TRIM($C63), TRIM(Result00!$A$2:$A$45) &amp;"|"&amp; TRIM(Result00!$B$2:$B$45), 0),
    _xlpm.colMatch, MATCH(TRIM(K$3), TRIM(Result00!$C$1:$L$1), 0),
    _xlpm.val, IFERROR(INDEX(Result00!$C$2:$L$45, _xlpm.rowMatch, _xlpm.colMatch), ""),
    IF(_xlpm.val="", "", _xlpm.val)
)</f>
        <v/>
      </c>
      <c r="L63" s="8" t="str" cm="1">
        <f t="array" ref="L63">_xlfn.LET(
    _xlpm.rowMatch, MATCH(TRIM($D63)&amp;"|"&amp;TRIM($C63), TRIM(Result00!$A$2:$A$45) &amp;"|"&amp; TRIM(Result00!$B$2:$B$45), 0),
    _xlpm.colMatch, MATCH(TRIM(L$3), TRIM(Result00!$C$1:$L$1), 0),
    _xlpm.val, IFERROR(INDEX(Result00!$C$2:$L$45, _xlpm.rowMatch, _xlpm.colMatch), ""),
    IF(_xlpm.val="", "", _xlpm.val)
)</f>
        <v/>
      </c>
      <c r="M63" s="8" t="str" cm="1">
        <f t="array" ref="M63">_xlfn.LET(
    _xlpm.rowMatch, MATCH(TRIM($D63)&amp;"|"&amp;TRIM($C63), TRIM(Result00!$A$2:$A$45) &amp;"|"&amp; TRIM(Result00!$B$2:$B$45), 0),
    _xlpm.colMatch, MATCH(TRIM(M$3), TRIM(Result00!$C$1:$L$1), 0),
    _xlpm.val, IFERROR(INDEX(Result00!$C$2:$L$45, _xlpm.rowMatch, _xlpm.colMatch), ""),
    IF(_xlpm.val="", "", _xlpm.val)
)</f>
        <v/>
      </c>
      <c r="O63" s="8" t="str" cm="1">
        <f t="array" ref="O63">_xlfn.LET(
    _xlpm.rowMatch, MATCH(TRIM($D63)&amp;"|"&amp;TRIM($C63), TRIM(Result00!$A$2:$A$45) &amp;"|"&amp; TRIM(Result00!$B$2:$B$45), 0),
    _xlpm.colMatch, MATCH(TRIM(O$3), TRIM(Result00!$C$1:$L$1), 0),
    _xlpm.val, IFERROR(INDEX(Result00!$C$2:$L$45, _xlpm.rowMatch, _xlpm.colMatch), ""),
    IF(_xlpm.val="", "", _xlpm.val)
)</f>
        <v/>
      </c>
      <c r="P63" s="8" t="str" cm="1">
        <f t="array" ref="P63">_xlfn.LET(
    _xlpm.rowMatch, MATCH(TRIM($D63)&amp;"|"&amp;TRIM($C63), TRIM(Result00!$A$2:$A$45) &amp;"|"&amp; TRIM(Result00!$B$2:$B$45), 0),
    _xlpm.colMatch, MATCH(TRIM(P$3), TRIM(Result00!$C$1:$L$1), 0),
    _xlpm.val, IFERROR(INDEX(Result00!$C$2:$L$45, _xlpm.rowMatch, _xlpm.colMatch), ""),
    IF(_xlpm.val="", "", _xlpm.val)
)</f>
        <v/>
      </c>
      <c r="Q63" s="8" t="str" cm="1">
        <f t="array" ref="Q63">_xlfn.LET(
    _xlpm.rowMatch, MATCH(TRIM($D63)&amp;"|"&amp;TRIM($C63), TRIM(Result00!$A$2:$A$45) &amp;"|"&amp; TRIM(Result00!$B$2:$B$45), 0),
    _xlpm.colMatch, MATCH(TRIM(Q$3), TRIM(Result00!$C$1:$L$1), 0),
    _xlpm.val, IFERROR(INDEX(Result00!$C$2:$L$45, _xlpm.rowMatch, _xlpm.colMatch), ""),
    IF(_xlpm.val="", "", _xlpm.val)
)</f>
        <v/>
      </c>
    </row>
    <row r="131" spans="2:3" ht="20" customHeight="1" x14ac:dyDescent="0.4">
      <c r="B131" s="11" t="str" cm="1">
        <f t="array" ref="B13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1" s="8">
        <f t="shared" ref="C131:C132" si="1">IF(B131&lt;&gt;"", B131, C130)</f>
        <v>0</v>
      </c>
    </row>
    <row r="132" spans="2:3" ht="20" customHeight="1" x14ac:dyDescent="0.4">
      <c r="B132" s="11" t="str" cm="1">
        <f t="array" ref="B13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2" s="8">
        <f t="shared" si="1"/>
        <v>0</v>
      </c>
    </row>
    <row r="133" spans="2:3" ht="20" customHeight="1" x14ac:dyDescent="0.4">
      <c r="B133" s="11" t="str" cm="1">
        <f t="array" ref="B13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3" s="8">
        <f t="shared" ref="C133:C196" si="2">IF(B133&lt;&gt;"", B133, C132)</f>
        <v>0</v>
      </c>
    </row>
    <row r="134" spans="2:3" ht="20" customHeight="1" x14ac:dyDescent="0.4">
      <c r="B134" s="11" t="str" cm="1">
        <f t="array" ref="B13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4" s="8">
        <f t="shared" si="2"/>
        <v>0</v>
      </c>
    </row>
    <row r="135" spans="2:3" ht="20" customHeight="1" x14ac:dyDescent="0.4">
      <c r="B135" s="11" t="str" cm="1">
        <f t="array" ref="B13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5" s="8">
        <f t="shared" si="2"/>
        <v>0</v>
      </c>
    </row>
    <row r="136" spans="2:3" ht="20" customHeight="1" x14ac:dyDescent="0.4">
      <c r="B136" s="11" t="str" cm="1">
        <f t="array" ref="B13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6" s="8">
        <f t="shared" si="2"/>
        <v>0</v>
      </c>
    </row>
    <row r="137" spans="2:3" ht="20" customHeight="1" x14ac:dyDescent="0.4">
      <c r="B137" s="11" t="str" cm="1">
        <f t="array" ref="B13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7" s="8">
        <f t="shared" si="2"/>
        <v>0</v>
      </c>
    </row>
    <row r="138" spans="2:3" ht="20" customHeight="1" x14ac:dyDescent="0.4">
      <c r="B138" s="11" t="str" cm="1">
        <f t="array" ref="B13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8" s="8">
        <f t="shared" si="2"/>
        <v>0</v>
      </c>
    </row>
    <row r="139" spans="2:3" ht="20" customHeight="1" x14ac:dyDescent="0.4">
      <c r="B139" s="11" t="str" cm="1">
        <f t="array" ref="B13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39" s="8">
        <f t="shared" si="2"/>
        <v>0</v>
      </c>
    </row>
    <row r="140" spans="2:3" ht="20" customHeight="1" x14ac:dyDescent="0.4">
      <c r="B140" s="11" t="str" cm="1">
        <f t="array" ref="B14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0" s="8">
        <f t="shared" si="2"/>
        <v>0</v>
      </c>
    </row>
    <row r="141" spans="2:3" ht="20" customHeight="1" x14ac:dyDescent="0.4">
      <c r="B141" s="11" t="str" cm="1">
        <f t="array" ref="B14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1" s="8">
        <f t="shared" si="2"/>
        <v>0</v>
      </c>
    </row>
    <row r="142" spans="2:3" ht="20" customHeight="1" x14ac:dyDescent="0.4">
      <c r="B142" s="11" t="str" cm="1">
        <f t="array" ref="B14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2" s="8">
        <f t="shared" si="2"/>
        <v>0</v>
      </c>
    </row>
    <row r="143" spans="2:3" ht="20" customHeight="1" x14ac:dyDescent="0.4">
      <c r="B143" s="11" t="str" cm="1">
        <f t="array" ref="B14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3" s="8">
        <f t="shared" si="2"/>
        <v>0</v>
      </c>
    </row>
    <row r="144" spans="2:3" ht="20" customHeight="1" x14ac:dyDescent="0.4">
      <c r="B144" s="11" t="str" cm="1">
        <f t="array" ref="B14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4" s="8">
        <f t="shared" si="2"/>
        <v>0</v>
      </c>
    </row>
    <row r="145" spans="2:3" ht="20" customHeight="1" x14ac:dyDescent="0.4">
      <c r="B145" s="11" t="str" cm="1">
        <f t="array" ref="B14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5" s="8">
        <f t="shared" si="2"/>
        <v>0</v>
      </c>
    </row>
    <row r="146" spans="2:3" ht="20" customHeight="1" x14ac:dyDescent="0.4">
      <c r="B146" s="11" t="str" cm="1">
        <f t="array" ref="B14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6" s="8">
        <f t="shared" si="2"/>
        <v>0</v>
      </c>
    </row>
    <row r="147" spans="2:3" ht="20" customHeight="1" x14ac:dyDescent="0.4">
      <c r="B147" s="11" t="str" cm="1">
        <f t="array" ref="B14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7" s="8">
        <f t="shared" si="2"/>
        <v>0</v>
      </c>
    </row>
    <row r="148" spans="2:3" ht="20" customHeight="1" x14ac:dyDescent="0.4">
      <c r="B148" s="11" t="str" cm="1">
        <f t="array" ref="B14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8" s="8">
        <f t="shared" si="2"/>
        <v>0</v>
      </c>
    </row>
    <row r="149" spans="2:3" ht="20" customHeight="1" x14ac:dyDescent="0.4">
      <c r="B149" s="11" t="str" cm="1">
        <f t="array" ref="B14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49" s="8">
        <f t="shared" si="2"/>
        <v>0</v>
      </c>
    </row>
    <row r="150" spans="2:3" ht="20" customHeight="1" x14ac:dyDescent="0.4">
      <c r="B150" s="11" t="str" cm="1">
        <f t="array" ref="B15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0" s="8">
        <f t="shared" si="2"/>
        <v>0</v>
      </c>
    </row>
    <row r="151" spans="2:3" ht="20" customHeight="1" x14ac:dyDescent="0.4">
      <c r="B151" s="11" t="str" cm="1">
        <f t="array" ref="B15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1" s="8">
        <f t="shared" si="2"/>
        <v>0</v>
      </c>
    </row>
    <row r="152" spans="2:3" ht="20" customHeight="1" x14ac:dyDescent="0.4">
      <c r="B152" s="11" t="str" cm="1">
        <f t="array" ref="B15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2" s="8">
        <f t="shared" si="2"/>
        <v>0</v>
      </c>
    </row>
    <row r="153" spans="2:3" ht="20" customHeight="1" x14ac:dyDescent="0.4">
      <c r="B153" s="11" t="str" cm="1">
        <f t="array" ref="B15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3" s="8">
        <f t="shared" si="2"/>
        <v>0</v>
      </c>
    </row>
    <row r="154" spans="2:3" ht="20" customHeight="1" x14ac:dyDescent="0.4">
      <c r="B154" s="11" t="str" cm="1">
        <f t="array" ref="B15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4" s="8">
        <f t="shared" si="2"/>
        <v>0</v>
      </c>
    </row>
    <row r="155" spans="2:3" ht="20" customHeight="1" x14ac:dyDescent="0.4">
      <c r="B155" s="11" t="str" cm="1">
        <f t="array" ref="B15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5" s="8">
        <f t="shared" si="2"/>
        <v>0</v>
      </c>
    </row>
    <row r="156" spans="2:3" ht="20" customHeight="1" x14ac:dyDescent="0.4">
      <c r="B156" s="11" t="str" cm="1">
        <f t="array" ref="B15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6" s="8">
        <f t="shared" si="2"/>
        <v>0</v>
      </c>
    </row>
    <row r="157" spans="2:3" ht="20" customHeight="1" x14ac:dyDescent="0.4">
      <c r="B157" s="11" t="str" cm="1">
        <f t="array" ref="B15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7" s="8">
        <f t="shared" si="2"/>
        <v>0</v>
      </c>
    </row>
    <row r="158" spans="2:3" ht="20" customHeight="1" x14ac:dyDescent="0.4">
      <c r="B158" s="11" t="str" cm="1">
        <f t="array" ref="B15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8" s="8">
        <f t="shared" si="2"/>
        <v>0</v>
      </c>
    </row>
    <row r="159" spans="2:3" ht="20" customHeight="1" x14ac:dyDescent="0.4">
      <c r="B159" s="11" t="str" cm="1">
        <f t="array" ref="B15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59" s="8">
        <f t="shared" si="2"/>
        <v>0</v>
      </c>
    </row>
    <row r="160" spans="2:3" ht="20" customHeight="1" x14ac:dyDescent="0.4">
      <c r="B160" s="11" t="str" cm="1">
        <f t="array" ref="B16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0" s="8">
        <f t="shared" si="2"/>
        <v>0</v>
      </c>
    </row>
    <row r="161" spans="2:3" ht="20" customHeight="1" x14ac:dyDescent="0.4">
      <c r="B161" s="11" t="str" cm="1">
        <f t="array" ref="B16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1" s="8">
        <f t="shared" si="2"/>
        <v>0</v>
      </c>
    </row>
    <row r="162" spans="2:3" ht="20" customHeight="1" x14ac:dyDescent="0.4">
      <c r="B162" s="11" t="str" cm="1">
        <f t="array" ref="B16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2" s="8">
        <f t="shared" si="2"/>
        <v>0</v>
      </c>
    </row>
    <row r="163" spans="2:3" ht="20" customHeight="1" x14ac:dyDescent="0.4">
      <c r="B163" s="11" t="str" cm="1">
        <f t="array" ref="B16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3" s="8">
        <f t="shared" si="2"/>
        <v>0</v>
      </c>
    </row>
    <row r="164" spans="2:3" ht="20" customHeight="1" x14ac:dyDescent="0.4">
      <c r="B164" s="11" t="str" cm="1">
        <f t="array" ref="B16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4" s="8">
        <f t="shared" si="2"/>
        <v>0</v>
      </c>
    </row>
    <row r="165" spans="2:3" ht="20" customHeight="1" x14ac:dyDescent="0.4">
      <c r="B165" s="11" t="str" cm="1">
        <f t="array" ref="B16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5" s="8">
        <f t="shared" si="2"/>
        <v>0</v>
      </c>
    </row>
    <row r="166" spans="2:3" ht="20" customHeight="1" x14ac:dyDescent="0.4">
      <c r="B166" s="11" t="str" cm="1">
        <f t="array" ref="B16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6" s="8">
        <f t="shared" si="2"/>
        <v>0</v>
      </c>
    </row>
    <row r="167" spans="2:3" ht="20" customHeight="1" x14ac:dyDescent="0.4">
      <c r="B167" s="11" t="str" cm="1">
        <f t="array" ref="B16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7" s="8">
        <f t="shared" si="2"/>
        <v>0</v>
      </c>
    </row>
    <row r="168" spans="2:3" ht="20" customHeight="1" x14ac:dyDescent="0.4">
      <c r="B168" s="11" t="str" cm="1">
        <f t="array" ref="B16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8" s="8">
        <f t="shared" si="2"/>
        <v>0</v>
      </c>
    </row>
    <row r="169" spans="2:3" ht="20" customHeight="1" x14ac:dyDescent="0.4">
      <c r="B169" s="11" t="str" cm="1">
        <f t="array" ref="B16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69" s="8">
        <f t="shared" si="2"/>
        <v>0</v>
      </c>
    </row>
    <row r="170" spans="2:3" ht="20" customHeight="1" x14ac:dyDescent="0.4">
      <c r="B170" s="11" t="str" cm="1">
        <f t="array" ref="B17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0" s="8">
        <f t="shared" si="2"/>
        <v>0</v>
      </c>
    </row>
    <row r="171" spans="2:3" ht="20" customHeight="1" x14ac:dyDescent="0.4">
      <c r="B171" s="11" t="str" cm="1">
        <f t="array" ref="B17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1" s="8">
        <f t="shared" si="2"/>
        <v>0</v>
      </c>
    </row>
    <row r="172" spans="2:3" ht="20" customHeight="1" x14ac:dyDescent="0.4">
      <c r="B172" s="11" t="str" cm="1">
        <f t="array" ref="B17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2" s="8">
        <f t="shared" si="2"/>
        <v>0</v>
      </c>
    </row>
    <row r="173" spans="2:3" ht="20" customHeight="1" x14ac:dyDescent="0.4">
      <c r="B173" s="11" t="str" cm="1">
        <f t="array" ref="B17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3" s="8">
        <f t="shared" si="2"/>
        <v>0</v>
      </c>
    </row>
    <row r="174" spans="2:3" ht="20" customHeight="1" x14ac:dyDescent="0.4">
      <c r="B174" s="11" t="str" cm="1">
        <f t="array" ref="B17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4" s="8">
        <f t="shared" si="2"/>
        <v>0</v>
      </c>
    </row>
    <row r="175" spans="2:3" ht="20" customHeight="1" x14ac:dyDescent="0.4">
      <c r="B175" s="11" t="str" cm="1">
        <f t="array" ref="B17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5" s="8">
        <f t="shared" si="2"/>
        <v>0</v>
      </c>
    </row>
    <row r="176" spans="2:3" ht="20" customHeight="1" x14ac:dyDescent="0.4">
      <c r="B176" s="11" t="str" cm="1">
        <f t="array" ref="B17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6" s="8">
        <f t="shared" si="2"/>
        <v>0</v>
      </c>
    </row>
    <row r="177" spans="2:3" ht="20" customHeight="1" x14ac:dyDescent="0.4">
      <c r="B177" s="11" t="str" cm="1">
        <f t="array" ref="B17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7" s="8">
        <f t="shared" si="2"/>
        <v>0</v>
      </c>
    </row>
    <row r="178" spans="2:3" ht="20" customHeight="1" x14ac:dyDescent="0.4">
      <c r="B178" s="11" t="str" cm="1">
        <f t="array" ref="B17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8" s="8">
        <f t="shared" si="2"/>
        <v>0</v>
      </c>
    </row>
    <row r="179" spans="2:3" ht="20" customHeight="1" x14ac:dyDescent="0.4">
      <c r="B179" s="11" t="str" cm="1">
        <f t="array" ref="B17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79" s="8">
        <f t="shared" si="2"/>
        <v>0</v>
      </c>
    </row>
    <row r="180" spans="2:3" ht="20" customHeight="1" x14ac:dyDescent="0.4">
      <c r="B180" s="11" t="str" cm="1">
        <f t="array" ref="B18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0" s="8">
        <f t="shared" si="2"/>
        <v>0</v>
      </c>
    </row>
    <row r="181" spans="2:3" ht="20" customHeight="1" x14ac:dyDescent="0.4">
      <c r="B181" s="11" t="str" cm="1">
        <f t="array" ref="B18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1" s="8">
        <f t="shared" si="2"/>
        <v>0</v>
      </c>
    </row>
    <row r="182" spans="2:3" ht="20" customHeight="1" x14ac:dyDescent="0.4">
      <c r="B182" s="11" t="str" cm="1">
        <f t="array" ref="B18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2" s="8">
        <f t="shared" si="2"/>
        <v>0</v>
      </c>
    </row>
    <row r="183" spans="2:3" ht="20" customHeight="1" x14ac:dyDescent="0.4">
      <c r="B183" s="11" t="str" cm="1">
        <f t="array" ref="B18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3" s="8">
        <f t="shared" si="2"/>
        <v>0</v>
      </c>
    </row>
    <row r="184" spans="2:3" ht="20" customHeight="1" x14ac:dyDescent="0.4">
      <c r="B184" s="11" t="str" cm="1">
        <f t="array" ref="B18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4" s="8">
        <f t="shared" si="2"/>
        <v>0</v>
      </c>
    </row>
    <row r="185" spans="2:3" ht="20" customHeight="1" x14ac:dyDescent="0.4">
      <c r="B185" s="11" t="str" cm="1">
        <f t="array" ref="B18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5" s="8">
        <f t="shared" si="2"/>
        <v>0</v>
      </c>
    </row>
    <row r="186" spans="2:3" ht="20" customHeight="1" x14ac:dyDescent="0.4">
      <c r="B186" s="11" t="str" cm="1">
        <f t="array" ref="B18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6" s="8">
        <f t="shared" si="2"/>
        <v>0</v>
      </c>
    </row>
    <row r="187" spans="2:3" ht="20" customHeight="1" x14ac:dyDescent="0.4">
      <c r="B187" s="11" t="str" cm="1">
        <f t="array" ref="B18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7" s="8">
        <f t="shared" si="2"/>
        <v>0</v>
      </c>
    </row>
    <row r="188" spans="2:3" ht="20" customHeight="1" x14ac:dyDescent="0.4">
      <c r="B188" s="11" t="str" cm="1">
        <f t="array" ref="B18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8" s="8">
        <f t="shared" si="2"/>
        <v>0</v>
      </c>
    </row>
    <row r="189" spans="2:3" ht="20" customHeight="1" x14ac:dyDescent="0.4">
      <c r="B189" s="11" t="str" cm="1">
        <f t="array" ref="B18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89" s="8">
        <f t="shared" si="2"/>
        <v>0</v>
      </c>
    </row>
    <row r="190" spans="2:3" ht="20" customHeight="1" x14ac:dyDescent="0.4">
      <c r="B190" s="11" t="str" cm="1">
        <f t="array" ref="B19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0" s="8">
        <f t="shared" si="2"/>
        <v>0</v>
      </c>
    </row>
    <row r="191" spans="2:3" ht="20" customHeight="1" x14ac:dyDescent="0.4">
      <c r="B191" s="11" t="str" cm="1">
        <f t="array" ref="B19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1" s="8">
        <f t="shared" si="2"/>
        <v>0</v>
      </c>
    </row>
    <row r="192" spans="2:3" ht="20" customHeight="1" x14ac:dyDescent="0.4">
      <c r="B192" s="11" t="str" cm="1">
        <f t="array" ref="B19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2" s="8">
        <f t="shared" si="2"/>
        <v>0</v>
      </c>
    </row>
    <row r="193" spans="2:3" ht="20" customHeight="1" x14ac:dyDescent="0.4">
      <c r="B193" s="11" t="str" cm="1">
        <f t="array" ref="B19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3" s="8">
        <f t="shared" si="2"/>
        <v>0</v>
      </c>
    </row>
    <row r="194" spans="2:3" ht="20" customHeight="1" x14ac:dyDescent="0.4">
      <c r="B194" s="11" t="str" cm="1">
        <f t="array" ref="B19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4" s="8">
        <f t="shared" si="2"/>
        <v>0</v>
      </c>
    </row>
    <row r="195" spans="2:3" ht="20" customHeight="1" x14ac:dyDescent="0.4">
      <c r="B195" s="11" t="str" cm="1">
        <f t="array" ref="B19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5" s="8">
        <f t="shared" si="2"/>
        <v>0</v>
      </c>
    </row>
    <row r="196" spans="2:3" ht="20" customHeight="1" x14ac:dyDescent="0.4">
      <c r="B196" s="11" t="str" cm="1">
        <f t="array" ref="B19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6" s="8">
        <f t="shared" si="2"/>
        <v>0</v>
      </c>
    </row>
    <row r="197" spans="2:3" ht="20" customHeight="1" x14ac:dyDescent="0.4">
      <c r="B197" s="11" t="str" cm="1">
        <f t="array" ref="B19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7" s="8">
        <f t="shared" ref="C197:C251" si="3">IF(B197&lt;&gt;"", B197, C196)</f>
        <v>0</v>
      </c>
    </row>
    <row r="198" spans="2:3" ht="20" customHeight="1" x14ac:dyDescent="0.4">
      <c r="B198" s="11" t="str" cm="1">
        <f t="array" ref="B19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8" s="8">
        <f t="shared" si="3"/>
        <v>0</v>
      </c>
    </row>
    <row r="199" spans="2:3" ht="20" customHeight="1" x14ac:dyDescent="0.4">
      <c r="B199" s="11" t="str" cm="1">
        <f t="array" ref="B19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199" s="8">
        <f t="shared" si="3"/>
        <v>0</v>
      </c>
    </row>
    <row r="200" spans="2:3" ht="20" customHeight="1" x14ac:dyDescent="0.4">
      <c r="B200" s="11" t="str" cm="1">
        <f t="array" ref="B20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0" s="8">
        <f t="shared" si="3"/>
        <v>0</v>
      </c>
    </row>
    <row r="201" spans="2:3" ht="20" customHeight="1" x14ac:dyDescent="0.4">
      <c r="B201" s="11" t="str" cm="1">
        <f t="array" ref="B20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1" s="8">
        <f t="shared" si="3"/>
        <v>0</v>
      </c>
    </row>
    <row r="202" spans="2:3" ht="20" customHeight="1" x14ac:dyDescent="0.4">
      <c r="B202" s="11" t="str" cm="1">
        <f t="array" ref="B20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2" s="8">
        <f t="shared" si="3"/>
        <v>0</v>
      </c>
    </row>
    <row r="203" spans="2:3" ht="20" customHeight="1" x14ac:dyDescent="0.4">
      <c r="B203" s="11" t="str" cm="1">
        <f t="array" ref="B20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3" s="8">
        <f t="shared" si="3"/>
        <v>0</v>
      </c>
    </row>
    <row r="204" spans="2:3" ht="20" customHeight="1" x14ac:dyDescent="0.4">
      <c r="B204" s="11" t="str" cm="1">
        <f t="array" ref="B20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4" s="8">
        <f t="shared" si="3"/>
        <v>0</v>
      </c>
    </row>
    <row r="205" spans="2:3" ht="20" customHeight="1" x14ac:dyDescent="0.4">
      <c r="B205" s="11" t="str" cm="1">
        <f t="array" ref="B20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5" s="8">
        <f t="shared" si="3"/>
        <v>0</v>
      </c>
    </row>
    <row r="206" spans="2:3" ht="20" customHeight="1" x14ac:dyDescent="0.4">
      <c r="B206" s="11" t="str" cm="1">
        <f t="array" ref="B20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6" s="8">
        <f t="shared" si="3"/>
        <v>0</v>
      </c>
    </row>
    <row r="207" spans="2:3" ht="20" customHeight="1" x14ac:dyDescent="0.4">
      <c r="B207" s="11" t="str" cm="1">
        <f t="array" ref="B20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7" s="8">
        <f t="shared" si="3"/>
        <v>0</v>
      </c>
    </row>
    <row r="208" spans="2:3" ht="20" customHeight="1" x14ac:dyDescent="0.4">
      <c r="B208" s="11" t="str" cm="1">
        <f t="array" ref="B20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8" s="8">
        <f t="shared" si="3"/>
        <v>0</v>
      </c>
    </row>
    <row r="209" spans="2:3" ht="20" customHeight="1" x14ac:dyDescent="0.4">
      <c r="B209" s="11" t="str" cm="1">
        <f t="array" ref="B20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09" s="8">
        <f t="shared" si="3"/>
        <v>0</v>
      </c>
    </row>
    <row r="210" spans="2:3" ht="20" customHeight="1" x14ac:dyDescent="0.4">
      <c r="B210" s="11" t="str" cm="1">
        <f t="array" ref="B21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0" s="8">
        <f t="shared" si="3"/>
        <v>0</v>
      </c>
    </row>
    <row r="211" spans="2:3" ht="20" customHeight="1" x14ac:dyDescent="0.4">
      <c r="B211" s="11" t="str" cm="1">
        <f t="array" ref="B21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1" s="8">
        <f t="shared" si="3"/>
        <v>0</v>
      </c>
    </row>
    <row r="212" spans="2:3" ht="20" customHeight="1" x14ac:dyDescent="0.4">
      <c r="B212" s="11" t="str" cm="1">
        <f t="array" ref="B21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2" s="8">
        <f t="shared" si="3"/>
        <v>0</v>
      </c>
    </row>
    <row r="213" spans="2:3" ht="20" customHeight="1" x14ac:dyDescent="0.4">
      <c r="B213" s="11" t="str" cm="1">
        <f t="array" ref="B21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3" s="8">
        <f t="shared" si="3"/>
        <v>0</v>
      </c>
    </row>
    <row r="214" spans="2:3" ht="20" customHeight="1" x14ac:dyDescent="0.4">
      <c r="B214" s="11" t="str" cm="1">
        <f t="array" ref="B21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4" s="8">
        <f t="shared" si="3"/>
        <v>0</v>
      </c>
    </row>
    <row r="215" spans="2:3" ht="20" customHeight="1" x14ac:dyDescent="0.4">
      <c r="B215" s="11" t="str" cm="1">
        <f t="array" ref="B21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5" s="8">
        <f t="shared" si="3"/>
        <v>0</v>
      </c>
    </row>
    <row r="216" spans="2:3" ht="20" customHeight="1" x14ac:dyDescent="0.4">
      <c r="B216" s="11" t="str" cm="1">
        <f t="array" ref="B21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6" s="8">
        <f t="shared" si="3"/>
        <v>0</v>
      </c>
    </row>
    <row r="217" spans="2:3" ht="20" customHeight="1" x14ac:dyDescent="0.4">
      <c r="B217" s="11" t="str" cm="1">
        <f t="array" ref="B21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7" s="8">
        <f t="shared" si="3"/>
        <v>0</v>
      </c>
    </row>
    <row r="218" spans="2:3" ht="20" customHeight="1" x14ac:dyDescent="0.4">
      <c r="B218" s="11" t="str" cm="1">
        <f t="array" ref="B21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8" s="8">
        <f t="shared" si="3"/>
        <v>0</v>
      </c>
    </row>
    <row r="219" spans="2:3" ht="20" customHeight="1" x14ac:dyDescent="0.4">
      <c r="B219" s="11" t="str" cm="1">
        <f t="array" ref="B21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19" s="8">
        <f t="shared" si="3"/>
        <v>0</v>
      </c>
    </row>
    <row r="220" spans="2:3" ht="20" customHeight="1" x14ac:dyDescent="0.4">
      <c r="B220" s="11" t="str" cm="1">
        <f t="array" ref="B22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0" s="8">
        <f t="shared" si="3"/>
        <v>0</v>
      </c>
    </row>
    <row r="221" spans="2:3" ht="20" customHeight="1" x14ac:dyDescent="0.4">
      <c r="B221" s="11" t="str" cm="1">
        <f t="array" ref="B22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1" s="8">
        <f t="shared" si="3"/>
        <v>0</v>
      </c>
    </row>
    <row r="222" spans="2:3" ht="20" customHeight="1" x14ac:dyDescent="0.4">
      <c r="B222" s="11" t="str" cm="1">
        <f t="array" ref="B22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2" s="8">
        <f t="shared" si="3"/>
        <v>0</v>
      </c>
    </row>
    <row r="223" spans="2:3" ht="20" customHeight="1" x14ac:dyDescent="0.4">
      <c r="B223" s="11" t="str" cm="1">
        <f t="array" ref="B22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3" s="8">
        <f t="shared" si="3"/>
        <v>0</v>
      </c>
    </row>
    <row r="224" spans="2:3" ht="20" customHeight="1" x14ac:dyDescent="0.4">
      <c r="B224" s="11" t="str" cm="1">
        <f t="array" ref="B22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4" s="8">
        <f t="shared" si="3"/>
        <v>0</v>
      </c>
    </row>
    <row r="225" spans="2:3" ht="20" customHeight="1" x14ac:dyDescent="0.4">
      <c r="B225" s="11" t="str" cm="1">
        <f t="array" ref="B22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5" s="8">
        <f t="shared" si="3"/>
        <v>0</v>
      </c>
    </row>
    <row r="226" spans="2:3" ht="20" customHeight="1" x14ac:dyDescent="0.4">
      <c r="B226" s="11" t="str" cm="1">
        <f t="array" ref="B22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6" s="8">
        <f t="shared" si="3"/>
        <v>0</v>
      </c>
    </row>
    <row r="227" spans="2:3" ht="20" customHeight="1" x14ac:dyDescent="0.4">
      <c r="B227" s="11" t="str" cm="1">
        <f t="array" ref="B22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7" s="8">
        <f t="shared" si="3"/>
        <v>0</v>
      </c>
    </row>
    <row r="228" spans="2:3" ht="20" customHeight="1" x14ac:dyDescent="0.4">
      <c r="B228" s="11" t="str" cm="1">
        <f t="array" ref="B22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8" s="8">
        <f t="shared" si="3"/>
        <v>0</v>
      </c>
    </row>
    <row r="229" spans="2:3" ht="20" customHeight="1" x14ac:dyDescent="0.4">
      <c r="B229" s="11" t="str" cm="1">
        <f t="array" ref="B22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29" s="8">
        <f t="shared" si="3"/>
        <v>0</v>
      </c>
    </row>
    <row r="230" spans="2:3" ht="20" customHeight="1" x14ac:dyDescent="0.4">
      <c r="B230" s="11" t="str" cm="1">
        <f t="array" ref="B23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0" s="8">
        <f t="shared" si="3"/>
        <v>0</v>
      </c>
    </row>
    <row r="231" spans="2:3" ht="20" customHeight="1" x14ac:dyDescent="0.4">
      <c r="B231" s="11" t="str" cm="1">
        <f t="array" ref="B23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1" s="8">
        <f t="shared" si="3"/>
        <v>0</v>
      </c>
    </row>
    <row r="232" spans="2:3" ht="20" customHeight="1" x14ac:dyDescent="0.4">
      <c r="B232" s="11" t="str" cm="1">
        <f t="array" ref="B23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2" s="8">
        <f t="shared" si="3"/>
        <v>0</v>
      </c>
    </row>
    <row r="233" spans="2:3" ht="20" customHeight="1" x14ac:dyDescent="0.4">
      <c r="B233" s="11" t="str" cm="1">
        <f t="array" ref="B23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3" s="8">
        <f t="shared" si="3"/>
        <v>0</v>
      </c>
    </row>
    <row r="234" spans="2:3" ht="20" customHeight="1" x14ac:dyDescent="0.4">
      <c r="B234" s="11" t="str" cm="1">
        <f t="array" ref="B23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4" s="8">
        <f t="shared" si="3"/>
        <v>0</v>
      </c>
    </row>
    <row r="235" spans="2:3" ht="20" customHeight="1" x14ac:dyDescent="0.4">
      <c r="B235" s="11" t="str" cm="1">
        <f t="array" ref="B23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5" s="8">
        <f t="shared" si="3"/>
        <v>0</v>
      </c>
    </row>
    <row r="236" spans="2:3" ht="20" customHeight="1" x14ac:dyDescent="0.4">
      <c r="B236" s="11" t="str" cm="1">
        <f t="array" ref="B23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6" s="8">
        <f t="shared" si="3"/>
        <v>0</v>
      </c>
    </row>
    <row r="237" spans="2:3" ht="20" customHeight="1" x14ac:dyDescent="0.4">
      <c r="B237" s="11" t="str" cm="1">
        <f t="array" ref="B23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7" s="8">
        <f t="shared" si="3"/>
        <v>0</v>
      </c>
    </row>
    <row r="238" spans="2:3" ht="20" customHeight="1" x14ac:dyDescent="0.4">
      <c r="B238" s="11" t="str" cm="1">
        <f t="array" ref="B23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8" s="8">
        <f t="shared" si="3"/>
        <v>0</v>
      </c>
    </row>
    <row r="239" spans="2:3" ht="20" customHeight="1" x14ac:dyDescent="0.4">
      <c r="B239" s="11" t="str" cm="1">
        <f t="array" ref="B23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39" s="8">
        <f t="shared" si="3"/>
        <v>0</v>
      </c>
    </row>
    <row r="240" spans="2:3" ht="20" customHeight="1" x14ac:dyDescent="0.4">
      <c r="B240" s="11" t="str" cm="1">
        <f t="array" ref="B24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0" s="8">
        <f t="shared" si="3"/>
        <v>0</v>
      </c>
    </row>
    <row r="241" spans="2:3" ht="20" customHeight="1" x14ac:dyDescent="0.4">
      <c r="B241" s="11" t="str" cm="1">
        <f t="array" ref="B24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1" s="8">
        <f t="shared" si="3"/>
        <v>0</v>
      </c>
    </row>
    <row r="242" spans="2:3" ht="20" customHeight="1" x14ac:dyDescent="0.4">
      <c r="B242" s="11" t="str" cm="1">
        <f t="array" ref="B242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2" s="8">
        <f t="shared" si="3"/>
        <v>0</v>
      </c>
    </row>
    <row r="243" spans="2:3" ht="20" customHeight="1" x14ac:dyDescent="0.4">
      <c r="B243" s="11" t="str" cm="1">
        <f t="array" ref="B243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3" s="8">
        <f t="shared" si="3"/>
        <v>0</v>
      </c>
    </row>
    <row r="244" spans="2:3" ht="20" customHeight="1" x14ac:dyDescent="0.4">
      <c r="B244" s="11" t="str" cm="1">
        <f t="array" ref="B244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4" s="8">
        <f t="shared" si="3"/>
        <v>0</v>
      </c>
    </row>
    <row r="245" spans="2:3" ht="20" customHeight="1" x14ac:dyDescent="0.4">
      <c r="B245" s="11" t="str" cm="1">
        <f t="array" ref="B245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5" s="8">
        <f t="shared" si="3"/>
        <v>0</v>
      </c>
    </row>
    <row r="246" spans="2:3" ht="20" customHeight="1" x14ac:dyDescent="0.4">
      <c r="B246" s="11" t="str" cm="1">
        <f t="array" ref="B246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6" s="8">
        <f t="shared" si="3"/>
        <v>0</v>
      </c>
    </row>
    <row r="247" spans="2:3" ht="20" customHeight="1" x14ac:dyDescent="0.4">
      <c r="B247" s="11" t="str" cm="1">
        <f t="array" ref="B247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7" s="8">
        <f t="shared" si="3"/>
        <v>0</v>
      </c>
    </row>
    <row r="248" spans="2:3" ht="20" customHeight="1" x14ac:dyDescent="0.4">
      <c r="B248" s="11" t="str" cm="1">
        <f t="array" ref="B248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8" s="8">
        <f t="shared" si="3"/>
        <v>0</v>
      </c>
    </row>
    <row r="249" spans="2:3" ht="20" customHeight="1" x14ac:dyDescent="0.4">
      <c r="B249" s="11" t="str" cm="1">
        <f t="array" ref="B249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49" s="8">
        <f t="shared" si="3"/>
        <v>0</v>
      </c>
    </row>
    <row r="250" spans="2:3" ht="20" customHeight="1" x14ac:dyDescent="0.4">
      <c r="B250" s="11" t="str" cm="1">
        <f t="array" ref="B250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50" s="8">
        <f t="shared" si="3"/>
        <v>0</v>
      </c>
    </row>
    <row r="251" spans="2:3" ht="20" customHeight="1" x14ac:dyDescent="0.4">
      <c r="B251" s="11" t="str" cm="1">
        <f t="array" ref="B251">IFERROR(
  IF(
    MOD(ROW()-ROW($B$4), COUNTA(使用方法!$B:$B)) = 0,
    IF(INDEX(使用方法!$A:$A, INT((ROW()-ROW($B$4))/COUNTA(使用方法!$B:$B))+1) = "",
       "",
       INDEX(使用方法!$A:$A, INT((ROW()-ROW($B$4))/COUNTA(使用方法!$B:$B))+1)
    ),
    ""
  ),
"")</f>
        <v/>
      </c>
      <c r="C251" s="8">
        <f t="shared" si="3"/>
        <v>0</v>
      </c>
    </row>
  </sheetData>
  <phoneticPr fontId="1" type="noConversion"/>
  <conditionalFormatting sqref="F1:F1048576">
    <cfRule type="colorScale" priority="10">
      <colorScale>
        <cfvo type="min"/>
        <cfvo type="max"/>
        <color rgb="FFFCFCFF"/>
        <color rgb="FFF8696B"/>
      </colorScale>
    </cfRule>
  </conditionalFormatting>
  <conditionalFormatting sqref="G1:G1048576 H43:P43">
    <cfRule type="colorScale" priority="9">
      <colorScale>
        <cfvo type="min"/>
        <cfvo type="max"/>
        <color rgb="FFFCFCFF"/>
        <color rgb="FFF8696B"/>
      </colorScale>
    </cfRule>
  </conditionalFormatting>
  <conditionalFormatting sqref="H1:I3 H44:I1048576 H4:Q4 H5:P42 Q5:Q43">
    <cfRule type="colorScale" priority="1">
      <colorScale>
        <cfvo type="min"/>
        <cfvo type="max"/>
        <color rgb="FFFCFCFF"/>
        <color rgb="FFF8696B"/>
      </colorScale>
    </cfRule>
  </conditionalFormatting>
  <conditionalFormatting sqref="J1:J3 J44:J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K1:K3 K44:K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L1:L3 L44:L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M1:N3 M44:N1048576">
    <cfRule type="colorScale" priority="5">
      <colorScale>
        <cfvo type="min"/>
        <cfvo type="max"/>
        <color rgb="FFFCFCFF"/>
        <color rgb="FFF8696B"/>
      </colorScale>
    </cfRule>
  </conditionalFormatting>
  <conditionalFormatting sqref="O1:O3 O44:O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P1:P3 P44:P1048576">
    <cfRule type="colorScale" priority="7">
      <colorScale>
        <cfvo type="min"/>
        <cfvo type="max"/>
        <color rgb="FFFCFCFF"/>
        <color rgb="FFF8696B"/>
      </colorScale>
    </cfRule>
  </conditionalFormatting>
  <conditionalFormatting sqref="Q1:Q3 Q44:Q1048576">
    <cfRule type="colorScale" priority="8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0B31-423F-4663-BFA5-1DE026B7EF45}">
  <dimension ref="A1:F15"/>
  <sheetViews>
    <sheetView workbookViewId="0">
      <selection activeCell="C13" sqref="C13"/>
    </sheetView>
  </sheetViews>
  <sheetFormatPr defaultRowHeight="17" x14ac:dyDescent="0.4"/>
  <cols>
    <col min="1" max="1" width="26.1796875" customWidth="1"/>
    <col min="2" max="2" width="21.54296875" customWidth="1"/>
    <col min="3" max="3" width="19.7265625" customWidth="1"/>
    <col min="5" max="5" width="8.7265625" customWidth="1"/>
  </cols>
  <sheetData>
    <row r="1" spans="1:6" x14ac:dyDescent="0.4">
      <c r="A1" s="1" t="s">
        <v>40</v>
      </c>
      <c r="B1" t="s">
        <v>17</v>
      </c>
      <c r="C1" s="3" t="s">
        <v>9</v>
      </c>
    </row>
    <row r="2" spans="1:6" x14ac:dyDescent="0.4">
      <c r="A2" s="1" t="s">
        <v>2</v>
      </c>
      <c r="B2" t="s">
        <v>49</v>
      </c>
      <c r="C2" s="3" t="s">
        <v>10</v>
      </c>
      <c r="F2" s="2"/>
    </row>
    <row r="3" spans="1:6" x14ac:dyDescent="0.4">
      <c r="A3" s="1" t="s">
        <v>3</v>
      </c>
      <c r="B3" t="s">
        <v>43</v>
      </c>
      <c r="C3" s="3" t="s">
        <v>11</v>
      </c>
      <c r="F3" s="3"/>
    </row>
    <row r="4" spans="1:6" x14ac:dyDescent="0.4">
      <c r="A4" s="1" t="s">
        <v>4</v>
      </c>
      <c r="B4" t="s">
        <v>48</v>
      </c>
      <c r="C4" s="2" t="s">
        <v>7</v>
      </c>
      <c r="F4" s="3"/>
    </row>
    <row r="5" spans="1:6" x14ac:dyDescent="0.4">
      <c r="A5" s="1"/>
      <c r="B5" t="s">
        <v>46</v>
      </c>
      <c r="C5" s="3" t="s">
        <v>8</v>
      </c>
      <c r="F5" s="3"/>
    </row>
    <row r="6" spans="1:6" x14ac:dyDescent="0.4">
      <c r="A6" s="1"/>
      <c r="B6" t="s">
        <v>47</v>
      </c>
      <c r="C6" s="40" t="s">
        <v>53</v>
      </c>
      <c r="F6" s="3"/>
    </row>
    <row r="7" spans="1:6" x14ac:dyDescent="0.4">
      <c r="A7" s="1"/>
      <c r="B7" t="s">
        <v>41</v>
      </c>
      <c r="C7" s="3" t="s">
        <v>14</v>
      </c>
      <c r="F7" s="3"/>
    </row>
    <row r="8" spans="1:6" x14ac:dyDescent="0.4">
      <c r="A8" s="1"/>
      <c r="B8" t="s">
        <v>42</v>
      </c>
      <c r="C8" s="3" t="s">
        <v>15</v>
      </c>
      <c r="F8" s="3"/>
    </row>
    <row r="9" spans="1:6" x14ac:dyDescent="0.4">
      <c r="A9" s="1"/>
      <c r="B9" t="s">
        <v>45</v>
      </c>
      <c r="C9" s="4" t="s">
        <v>16</v>
      </c>
      <c r="F9" s="3"/>
    </row>
    <row r="10" spans="1:6" x14ac:dyDescent="0.4">
      <c r="A10" s="1"/>
      <c r="B10" t="s">
        <v>50</v>
      </c>
      <c r="C10" s="3" t="s">
        <v>12</v>
      </c>
      <c r="F10" s="3"/>
    </row>
    <row r="11" spans="1:6" x14ac:dyDescent="0.4">
      <c r="A11" s="1"/>
      <c r="C11" s="3" t="s">
        <v>13</v>
      </c>
      <c r="F11" s="4"/>
    </row>
    <row r="12" spans="1:6" x14ac:dyDescent="0.4">
      <c r="A12" s="1"/>
      <c r="B12" s="1"/>
      <c r="C12" s="1" t="s">
        <v>55</v>
      </c>
    </row>
    <row r="13" spans="1:6" x14ac:dyDescent="0.4">
      <c r="A13" s="1"/>
      <c r="B13" s="1"/>
      <c r="C13" s="1"/>
    </row>
    <row r="14" spans="1:6" x14ac:dyDescent="0.4">
      <c r="A14" s="1"/>
      <c r="B14" s="1"/>
      <c r="C14" s="1"/>
    </row>
    <row r="15" spans="1:6" x14ac:dyDescent="0.4">
      <c r="A15" s="1"/>
      <c r="B15" s="1"/>
      <c r="C1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2E4B-AB84-4AF8-86D6-2C38171ED38B}">
  <dimension ref="A1:L40"/>
  <sheetViews>
    <sheetView topLeftCell="A18" workbookViewId="0"/>
  </sheetViews>
  <sheetFormatPr defaultRowHeight="17" x14ac:dyDescent="0.4"/>
  <cols>
    <col min="1" max="1" width="20.453125" bestFit="1" customWidth="1"/>
    <col min="2" max="2" width="17.54296875" bestFit="1" customWidth="1"/>
    <col min="3" max="3" width="11.90625" bestFit="1" customWidth="1"/>
    <col min="4" max="4" width="15.08984375" bestFit="1" customWidth="1"/>
    <col min="5" max="5" width="17.453125" bestFit="1" customWidth="1"/>
    <col min="6" max="6" width="14.08984375" bestFit="1" customWidth="1"/>
    <col min="7" max="7" width="10.7265625" bestFit="1" customWidth="1"/>
    <col min="8" max="8" width="10.90625" bestFit="1" customWidth="1"/>
    <col min="9" max="9" width="14.08984375" bestFit="1" customWidth="1"/>
    <col min="10" max="10" width="16.36328125" bestFit="1" customWidth="1"/>
    <col min="11" max="11" width="13" bestFit="1" customWidth="1"/>
    <col min="12" max="12" width="9.7265625" bestFit="1" customWidth="1"/>
  </cols>
  <sheetData>
    <row r="1" spans="1:12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4">
      <c r="A2" t="s">
        <v>17</v>
      </c>
      <c r="B2" t="s">
        <v>21</v>
      </c>
      <c r="C2">
        <v>0.93799999999999994</v>
      </c>
      <c r="D2">
        <v>0.74260000000000004</v>
      </c>
      <c r="E2">
        <v>0.85519999999999996</v>
      </c>
      <c r="F2">
        <v>0.69499999999999995</v>
      </c>
      <c r="G2">
        <v>0.76670000000000005</v>
      </c>
      <c r="H2">
        <v>0.90900000000000003</v>
      </c>
      <c r="I2">
        <v>0.67290000000000005</v>
      </c>
      <c r="J2">
        <v>0.82850000000000001</v>
      </c>
      <c r="K2">
        <v>0.66900000000000004</v>
      </c>
      <c r="L2">
        <v>0.74019999999999997</v>
      </c>
    </row>
    <row r="3" spans="1:12" x14ac:dyDescent="0.4">
      <c r="A3" t="s">
        <v>48</v>
      </c>
      <c r="B3" t="s">
        <v>21</v>
      </c>
      <c r="C3">
        <v>0.93630000000000002</v>
      </c>
      <c r="D3">
        <v>0.7349</v>
      </c>
      <c r="E3">
        <v>0.8508</v>
      </c>
      <c r="F3">
        <v>0.69730000000000003</v>
      </c>
      <c r="G3">
        <v>0.76639999999999997</v>
      </c>
      <c r="H3">
        <v>0.91300000000000003</v>
      </c>
      <c r="I3">
        <v>0.68600000000000005</v>
      </c>
      <c r="J3">
        <v>0.81810000000000005</v>
      </c>
      <c r="K3">
        <v>0.67930000000000001</v>
      </c>
      <c r="L3">
        <v>0.74219999999999997</v>
      </c>
    </row>
    <row r="4" spans="1:12" x14ac:dyDescent="0.4">
      <c r="A4" t="s">
        <v>45</v>
      </c>
      <c r="B4" t="s">
        <v>21</v>
      </c>
      <c r="C4">
        <v>0.89629999999999999</v>
      </c>
      <c r="D4">
        <v>0.63200000000000001</v>
      </c>
      <c r="E4">
        <v>0.79620000000000002</v>
      </c>
      <c r="F4">
        <v>0.61339999999999995</v>
      </c>
      <c r="G4">
        <v>0.69279999999999997</v>
      </c>
      <c r="H4">
        <v>0.90669999999999995</v>
      </c>
      <c r="I4">
        <v>0.68049999999999999</v>
      </c>
      <c r="J4">
        <v>0.83260000000000001</v>
      </c>
      <c r="K4">
        <v>0.64800000000000002</v>
      </c>
      <c r="L4">
        <v>0.7288</v>
      </c>
    </row>
    <row r="5" spans="1:12" x14ac:dyDescent="0.4">
      <c r="A5" t="s">
        <v>47</v>
      </c>
      <c r="B5" t="s">
        <v>21</v>
      </c>
      <c r="C5">
        <v>0.89870000000000005</v>
      </c>
      <c r="D5">
        <v>0.39439999999999997</v>
      </c>
      <c r="E5">
        <v>0.67500000000000004</v>
      </c>
      <c r="F5">
        <v>0.35670000000000002</v>
      </c>
      <c r="G5">
        <v>0.46660000000000001</v>
      </c>
      <c r="H5">
        <v>0.8276</v>
      </c>
      <c r="I5">
        <v>0.33169999999999999</v>
      </c>
      <c r="J5">
        <v>0.61670000000000003</v>
      </c>
      <c r="K5">
        <v>0.30580000000000002</v>
      </c>
      <c r="L5">
        <v>0.4088</v>
      </c>
    </row>
    <row r="6" spans="1:12" x14ac:dyDescent="0.4">
      <c r="A6" t="s">
        <v>46</v>
      </c>
      <c r="B6" t="s">
        <v>21</v>
      </c>
      <c r="C6">
        <v>0.89870000000000005</v>
      </c>
      <c r="D6">
        <v>0.39439999999999997</v>
      </c>
      <c r="E6">
        <v>0.67500000000000004</v>
      </c>
      <c r="F6">
        <v>0.35670000000000002</v>
      </c>
      <c r="G6">
        <v>0.46660000000000001</v>
      </c>
      <c r="H6">
        <v>0.8276</v>
      </c>
      <c r="I6">
        <v>0.33169999999999999</v>
      </c>
      <c r="J6">
        <v>0.61670000000000003</v>
      </c>
      <c r="K6">
        <v>0.30580000000000002</v>
      </c>
      <c r="L6">
        <v>0.4088</v>
      </c>
    </row>
    <row r="7" spans="1:12" x14ac:dyDescent="0.4">
      <c r="A7" t="s">
        <v>41</v>
      </c>
      <c r="B7" t="s">
        <v>21</v>
      </c>
      <c r="C7">
        <v>0.88200000000000001</v>
      </c>
      <c r="D7">
        <v>0.36870000000000003</v>
      </c>
      <c r="E7">
        <v>0.64249999999999996</v>
      </c>
      <c r="F7">
        <v>0.35089999999999999</v>
      </c>
      <c r="G7">
        <v>0.45390000000000003</v>
      </c>
      <c r="H7">
        <v>0.8579</v>
      </c>
      <c r="I7">
        <v>0.34599999999999997</v>
      </c>
      <c r="J7">
        <v>0.58009999999999995</v>
      </c>
      <c r="K7">
        <v>0.33850000000000002</v>
      </c>
      <c r="L7">
        <v>0.42749999999999999</v>
      </c>
    </row>
    <row r="8" spans="1:12" x14ac:dyDescent="0.4">
      <c r="A8" t="s">
        <v>42</v>
      </c>
      <c r="B8" t="s">
        <v>21</v>
      </c>
      <c r="C8">
        <v>0.89139999999999997</v>
      </c>
      <c r="D8">
        <v>0.34139999999999998</v>
      </c>
      <c r="E8">
        <v>0.62809999999999999</v>
      </c>
      <c r="F8">
        <v>0.34</v>
      </c>
      <c r="G8">
        <v>0.44059999999999999</v>
      </c>
      <c r="H8">
        <v>0.90559999999999996</v>
      </c>
      <c r="I8">
        <v>0.38090000000000002</v>
      </c>
      <c r="J8">
        <v>0.66269999999999996</v>
      </c>
      <c r="K8">
        <v>0.32119999999999999</v>
      </c>
      <c r="L8">
        <v>0.43269999999999997</v>
      </c>
    </row>
    <row r="9" spans="1:12" x14ac:dyDescent="0.4">
      <c r="A9" t="s">
        <v>50</v>
      </c>
      <c r="B9" t="s">
        <v>21</v>
      </c>
      <c r="C9">
        <v>0.87039999999999995</v>
      </c>
      <c r="D9">
        <v>0.32040000000000002</v>
      </c>
      <c r="E9">
        <v>0.61040000000000005</v>
      </c>
      <c r="F9">
        <v>0.31840000000000002</v>
      </c>
      <c r="G9">
        <v>0.41830000000000001</v>
      </c>
      <c r="H9">
        <v>0.85499999999999998</v>
      </c>
      <c r="I9">
        <v>0.32200000000000001</v>
      </c>
      <c r="J9">
        <v>0.63419999999999999</v>
      </c>
      <c r="K9">
        <v>0.28649999999999998</v>
      </c>
      <c r="L9">
        <v>0.3947</v>
      </c>
    </row>
    <row r="10" spans="1:12" x14ac:dyDescent="0.4">
      <c r="A10" t="s">
        <v>43</v>
      </c>
      <c r="B10" t="s">
        <v>21</v>
      </c>
      <c r="C10">
        <v>0.85970000000000002</v>
      </c>
      <c r="D10">
        <v>0.30430000000000001</v>
      </c>
      <c r="E10">
        <v>0.60350000000000004</v>
      </c>
      <c r="F10">
        <v>0.29899999999999999</v>
      </c>
      <c r="G10">
        <v>0.39960000000000001</v>
      </c>
      <c r="H10">
        <v>0.82220000000000004</v>
      </c>
      <c r="I10">
        <v>0.25090000000000001</v>
      </c>
      <c r="J10">
        <v>0.58579999999999999</v>
      </c>
      <c r="K10">
        <v>0.26800000000000002</v>
      </c>
      <c r="L10">
        <v>0.36780000000000002</v>
      </c>
    </row>
    <row r="11" spans="1:12" x14ac:dyDescent="0.4">
      <c r="A11" t="s">
        <v>49</v>
      </c>
      <c r="B11" t="s">
        <v>21</v>
      </c>
      <c r="C11">
        <v>0.92859999999999998</v>
      </c>
      <c r="D11">
        <v>0.24809999999999999</v>
      </c>
      <c r="E11">
        <v>0.84119999999999995</v>
      </c>
      <c r="F11">
        <v>0.2155</v>
      </c>
      <c r="G11">
        <v>0.34289999999999998</v>
      </c>
      <c r="H11">
        <v>0.72419999999999995</v>
      </c>
      <c r="I11">
        <v>1.1599999999999999E-2</v>
      </c>
      <c r="J11">
        <v>0</v>
      </c>
      <c r="K11">
        <v>0</v>
      </c>
      <c r="L11">
        <v>0</v>
      </c>
    </row>
    <row r="12" spans="1:12" x14ac:dyDescent="0.4">
      <c r="A12" t="s">
        <v>48</v>
      </c>
      <c r="B12" t="s">
        <v>18</v>
      </c>
      <c r="C12">
        <v>0.86660000000000004</v>
      </c>
      <c r="D12">
        <v>2.7E-2</v>
      </c>
      <c r="E12">
        <v>5.0700000000000002E-2</v>
      </c>
      <c r="F12">
        <v>0.14360000000000001</v>
      </c>
      <c r="G12">
        <v>7.4899999999999994E-2</v>
      </c>
      <c r="H12">
        <v>0.86180000000000001</v>
      </c>
      <c r="I12">
        <v>2.4899999999999999E-2</v>
      </c>
      <c r="J12">
        <v>5.0200000000000002E-2</v>
      </c>
      <c r="K12">
        <v>0.14099999999999999</v>
      </c>
      <c r="L12">
        <v>7.4099999999999999E-2</v>
      </c>
    </row>
    <row r="13" spans="1:12" x14ac:dyDescent="0.4">
      <c r="A13" t="s">
        <v>17</v>
      </c>
      <c r="B13" t="s">
        <v>18</v>
      </c>
      <c r="C13">
        <v>0.86629999999999996</v>
      </c>
      <c r="D13">
        <v>2.7E-2</v>
      </c>
      <c r="E13">
        <v>5.0599999999999999E-2</v>
      </c>
      <c r="F13">
        <v>0.14330000000000001</v>
      </c>
      <c r="G13">
        <v>7.4700000000000003E-2</v>
      </c>
      <c r="H13">
        <v>0.86150000000000004</v>
      </c>
      <c r="I13">
        <v>2.5000000000000001E-2</v>
      </c>
      <c r="J13">
        <v>4.9799999999999997E-2</v>
      </c>
      <c r="K13">
        <v>0.13980000000000001</v>
      </c>
      <c r="L13">
        <v>7.3400000000000007E-2</v>
      </c>
    </row>
    <row r="14" spans="1:12" x14ac:dyDescent="0.4">
      <c r="A14" t="s">
        <v>41</v>
      </c>
      <c r="B14" t="s">
        <v>18</v>
      </c>
      <c r="C14">
        <v>0.86739999999999995</v>
      </c>
      <c r="D14">
        <v>2.6700000000000002E-2</v>
      </c>
      <c r="E14">
        <v>5.04E-2</v>
      </c>
      <c r="F14">
        <v>0.1421</v>
      </c>
      <c r="G14">
        <v>7.4399999999999994E-2</v>
      </c>
      <c r="H14">
        <v>0.8619</v>
      </c>
      <c r="I14">
        <v>2.46E-2</v>
      </c>
      <c r="J14">
        <v>4.9500000000000002E-2</v>
      </c>
      <c r="K14">
        <v>0.13900000000000001</v>
      </c>
      <c r="L14">
        <v>7.2999999999999995E-2</v>
      </c>
    </row>
    <row r="15" spans="1:12" x14ac:dyDescent="0.4">
      <c r="A15" t="s">
        <v>42</v>
      </c>
      <c r="B15" t="s">
        <v>18</v>
      </c>
      <c r="C15">
        <v>0.86850000000000005</v>
      </c>
      <c r="D15">
        <v>2.6800000000000001E-2</v>
      </c>
      <c r="E15">
        <v>5.0299999999999997E-2</v>
      </c>
      <c r="F15">
        <v>0.14119999999999999</v>
      </c>
      <c r="G15">
        <v>7.4099999999999999E-2</v>
      </c>
      <c r="H15">
        <v>0.8629</v>
      </c>
      <c r="I15">
        <v>2.47E-2</v>
      </c>
      <c r="J15">
        <v>4.9500000000000002E-2</v>
      </c>
      <c r="K15">
        <v>0.13800000000000001</v>
      </c>
      <c r="L15">
        <v>7.2800000000000004E-2</v>
      </c>
    </row>
    <row r="16" spans="1:12" x14ac:dyDescent="0.4">
      <c r="A16" t="s">
        <v>46</v>
      </c>
      <c r="B16" t="s">
        <v>18</v>
      </c>
      <c r="C16">
        <v>0.86829999999999996</v>
      </c>
      <c r="D16">
        <v>2.6800000000000001E-2</v>
      </c>
      <c r="E16">
        <v>4.99E-2</v>
      </c>
      <c r="F16">
        <v>0.14050000000000001</v>
      </c>
      <c r="G16">
        <v>7.3599999999999999E-2</v>
      </c>
      <c r="H16">
        <v>0.8629</v>
      </c>
      <c r="I16">
        <v>2.47E-2</v>
      </c>
      <c r="J16">
        <v>4.9099999999999998E-2</v>
      </c>
      <c r="K16">
        <v>0.13730000000000001</v>
      </c>
      <c r="L16">
        <v>7.2300000000000003E-2</v>
      </c>
    </row>
    <row r="17" spans="1:12" x14ac:dyDescent="0.4">
      <c r="A17" t="s">
        <v>47</v>
      </c>
      <c r="B17" t="s">
        <v>18</v>
      </c>
      <c r="C17">
        <v>0.86829999999999996</v>
      </c>
      <c r="D17">
        <v>2.6800000000000001E-2</v>
      </c>
      <c r="E17">
        <v>4.99E-2</v>
      </c>
      <c r="F17">
        <v>0.14050000000000001</v>
      </c>
      <c r="G17">
        <v>7.3599999999999999E-2</v>
      </c>
      <c r="H17">
        <v>0.8629</v>
      </c>
      <c r="I17">
        <v>2.47E-2</v>
      </c>
      <c r="J17">
        <v>4.9099999999999998E-2</v>
      </c>
      <c r="K17">
        <v>0.13730000000000001</v>
      </c>
      <c r="L17">
        <v>7.2300000000000003E-2</v>
      </c>
    </row>
    <row r="18" spans="1:12" x14ac:dyDescent="0.4">
      <c r="A18" t="s">
        <v>50</v>
      </c>
      <c r="B18" t="s">
        <v>18</v>
      </c>
      <c r="C18">
        <v>0.85529999999999995</v>
      </c>
      <c r="D18">
        <v>2.3199999999999998E-2</v>
      </c>
      <c r="E18">
        <v>4.53E-2</v>
      </c>
      <c r="F18">
        <v>0.1234</v>
      </c>
      <c r="G18">
        <v>6.6299999999999998E-2</v>
      </c>
      <c r="H18">
        <v>0.84989999999999999</v>
      </c>
      <c r="I18">
        <v>2.1100000000000001E-2</v>
      </c>
      <c r="J18">
        <v>4.3299999999999998E-2</v>
      </c>
      <c r="K18">
        <v>0.1163</v>
      </c>
      <c r="L18">
        <v>6.3100000000000003E-2</v>
      </c>
    </row>
    <row r="19" spans="1:12" x14ac:dyDescent="0.4">
      <c r="A19" t="s">
        <v>43</v>
      </c>
      <c r="B19" t="s">
        <v>18</v>
      </c>
      <c r="C19">
        <v>0.87060000000000004</v>
      </c>
      <c r="D19">
        <v>2.47E-2</v>
      </c>
      <c r="E19">
        <v>4.3799999999999999E-2</v>
      </c>
      <c r="F19">
        <v>0.1278</v>
      </c>
      <c r="G19">
        <v>6.5199999999999994E-2</v>
      </c>
      <c r="H19">
        <v>0.86839999999999995</v>
      </c>
      <c r="I19">
        <v>2.2599999999999999E-2</v>
      </c>
      <c r="J19">
        <v>4.2700000000000002E-2</v>
      </c>
      <c r="K19">
        <v>0.124</v>
      </c>
      <c r="L19">
        <v>6.3500000000000001E-2</v>
      </c>
    </row>
    <row r="20" spans="1:12" x14ac:dyDescent="0.4">
      <c r="A20" t="s">
        <v>45</v>
      </c>
      <c r="B20" t="s">
        <v>18</v>
      </c>
      <c r="C20">
        <v>0.87019999999999997</v>
      </c>
      <c r="D20">
        <v>2.4400000000000002E-2</v>
      </c>
      <c r="E20">
        <v>4.2799999999999998E-2</v>
      </c>
      <c r="F20">
        <v>0.12470000000000001</v>
      </c>
      <c r="G20">
        <v>6.3799999999999996E-2</v>
      </c>
      <c r="H20">
        <v>0.86809999999999998</v>
      </c>
      <c r="I20">
        <v>2.24E-2</v>
      </c>
      <c r="J20">
        <v>4.2000000000000003E-2</v>
      </c>
      <c r="K20">
        <v>0.1217</v>
      </c>
      <c r="L20">
        <v>6.25E-2</v>
      </c>
    </row>
    <row r="21" spans="1:12" x14ac:dyDescent="0.4">
      <c r="A21" t="s">
        <v>50</v>
      </c>
      <c r="B21" t="s">
        <v>20</v>
      </c>
      <c r="C21">
        <v>0.91059999999999997</v>
      </c>
      <c r="D21">
        <v>2.0899999999999998E-2</v>
      </c>
      <c r="E21">
        <v>2.9499999999999998E-2</v>
      </c>
      <c r="F21">
        <v>0.2656</v>
      </c>
      <c r="G21">
        <v>5.3100000000000001E-2</v>
      </c>
      <c r="H21">
        <v>0.90710000000000002</v>
      </c>
      <c r="I21">
        <v>1.8700000000000001E-2</v>
      </c>
      <c r="J21">
        <v>2.8799999999999999E-2</v>
      </c>
      <c r="K21">
        <v>0.25969999999999999</v>
      </c>
      <c r="L21">
        <v>5.1900000000000002E-2</v>
      </c>
    </row>
    <row r="22" spans="1:12" x14ac:dyDescent="0.4">
      <c r="A22" t="s">
        <v>48</v>
      </c>
      <c r="B22" t="s">
        <v>20</v>
      </c>
      <c r="C22">
        <v>0.92310000000000003</v>
      </c>
      <c r="D22">
        <v>2.47E-2</v>
      </c>
      <c r="E22">
        <v>1.83E-2</v>
      </c>
      <c r="F22">
        <v>0.5766</v>
      </c>
      <c r="G22">
        <v>3.5400000000000001E-2</v>
      </c>
      <c r="H22">
        <v>0.91959999999999997</v>
      </c>
      <c r="I22">
        <v>2.2100000000000002E-2</v>
      </c>
      <c r="J22">
        <v>1.83E-2</v>
      </c>
      <c r="K22">
        <v>0.57550000000000001</v>
      </c>
      <c r="L22">
        <v>3.5400000000000001E-2</v>
      </c>
    </row>
    <row r="23" spans="1:12" x14ac:dyDescent="0.4">
      <c r="A23" t="s">
        <v>47</v>
      </c>
      <c r="B23" t="s">
        <v>20</v>
      </c>
      <c r="C23">
        <v>0.89449999999999996</v>
      </c>
      <c r="D23">
        <v>2.01E-2</v>
      </c>
      <c r="E23">
        <v>1.4500000000000001E-2</v>
      </c>
      <c r="F23">
        <v>0.60699999999999998</v>
      </c>
      <c r="G23">
        <v>2.81E-2</v>
      </c>
      <c r="H23">
        <v>0.88980000000000004</v>
      </c>
      <c r="I23">
        <v>1.7399999999999999E-2</v>
      </c>
      <c r="J23">
        <v>9.7000000000000003E-3</v>
      </c>
      <c r="K23">
        <v>0.71030000000000004</v>
      </c>
      <c r="L23">
        <v>1.9099999999999999E-2</v>
      </c>
    </row>
    <row r="24" spans="1:12" x14ac:dyDescent="0.4">
      <c r="A24" t="s">
        <v>43</v>
      </c>
      <c r="B24" t="s">
        <v>20</v>
      </c>
      <c r="C24">
        <v>0.90390000000000004</v>
      </c>
      <c r="D24">
        <v>2.41E-2</v>
      </c>
      <c r="E24">
        <v>1.0200000000000001E-2</v>
      </c>
      <c r="F24">
        <v>0.70579999999999998</v>
      </c>
      <c r="G24">
        <v>2.01E-2</v>
      </c>
      <c r="H24">
        <v>0.90349999999999997</v>
      </c>
      <c r="I24">
        <v>2.18E-2</v>
      </c>
      <c r="J24">
        <v>9.9000000000000008E-3</v>
      </c>
      <c r="K24">
        <v>0.7077</v>
      </c>
      <c r="L24">
        <v>1.9599999999999999E-2</v>
      </c>
    </row>
    <row r="25" spans="1:12" x14ac:dyDescent="0.4">
      <c r="A25" t="s">
        <v>41</v>
      </c>
      <c r="B25" t="s">
        <v>20</v>
      </c>
      <c r="C25">
        <v>0.91569999999999996</v>
      </c>
      <c r="D25">
        <v>2.47E-2</v>
      </c>
      <c r="E25">
        <v>9.5999999999999992E-3</v>
      </c>
      <c r="F25">
        <v>0.77869999999999995</v>
      </c>
      <c r="G25">
        <v>1.9E-2</v>
      </c>
      <c r="H25">
        <v>0.90820000000000001</v>
      </c>
      <c r="I25">
        <v>2.2599999999999999E-2</v>
      </c>
      <c r="J25">
        <v>9.2999999999999992E-3</v>
      </c>
      <c r="K25">
        <v>0.85680000000000001</v>
      </c>
      <c r="L25">
        <v>1.84E-2</v>
      </c>
    </row>
    <row r="26" spans="1:12" x14ac:dyDescent="0.4">
      <c r="A26" t="s">
        <v>46</v>
      </c>
      <c r="B26" t="s">
        <v>20</v>
      </c>
      <c r="C26">
        <v>0.89459999999999995</v>
      </c>
      <c r="D26">
        <v>2.06E-2</v>
      </c>
      <c r="E26">
        <v>9.5999999999999992E-3</v>
      </c>
      <c r="F26">
        <v>0.6895</v>
      </c>
      <c r="G26">
        <v>1.89E-2</v>
      </c>
      <c r="H26">
        <v>0.88519999999999999</v>
      </c>
      <c r="I26">
        <v>1.7899999999999999E-2</v>
      </c>
      <c r="J26">
        <v>9.1000000000000004E-3</v>
      </c>
      <c r="K26">
        <v>0.69069999999999998</v>
      </c>
      <c r="L26">
        <v>1.7999999999999999E-2</v>
      </c>
    </row>
    <row r="27" spans="1:12" x14ac:dyDescent="0.4">
      <c r="A27" t="s">
        <v>42</v>
      </c>
      <c r="B27" t="s">
        <v>20</v>
      </c>
      <c r="C27">
        <v>0.90749999999999997</v>
      </c>
      <c r="D27">
        <v>2.3699999999999999E-2</v>
      </c>
      <c r="E27">
        <v>8.0000000000000002E-3</v>
      </c>
      <c r="F27">
        <v>0.87319999999999998</v>
      </c>
      <c r="G27">
        <v>1.5800000000000002E-2</v>
      </c>
      <c r="H27">
        <v>0.90300000000000002</v>
      </c>
      <c r="I27">
        <v>2.1600000000000001E-2</v>
      </c>
      <c r="J27">
        <v>8.2000000000000007E-3</v>
      </c>
      <c r="K27">
        <v>0.76119999999999999</v>
      </c>
      <c r="L27">
        <v>1.6299999999999999E-2</v>
      </c>
    </row>
    <row r="28" spans="1:12" x14ac:dyDescent="0.4">
      <c r="A28" t="s">
        <v>45</v>
      </c>
      <c r="B28" t="s">
        <v>20</v>
      </c>
      <c r="C28">
        <v>0.90920000000000001</v>
      </c>
      <c r="D28">
        <v>2.5000000000000001E-2</v>
      </c>
      <c r="E28">
        <v>7.4999999999999997E-3</v>
      </c>
      <c r="F28">
        <v>0.88570000000000004</v>
      </c>
      <c r="G28">
        <v>1.49E-2</v>
      </c>
      <c r="H28">
        <v>0.90369999999999995</v>
      </c>
      <c r="I28">
        <v>2.29E-2</v>
      </c>
      <c r="J28">
        <v>8.6999999999999994E-3</v>
      </c>
      <c r="K28">
        <v>0.83930000000000005</v>
      </c>
      <c r="L28">
        <v>1.7299999999999999E-2</v>
      </c>
    </row>
    <row r="29" spans="1:12" x14ac:dyDescent="0.4">
      <c r="A29" t="s">
        <v>48</v>
      </c>
      <c r="B29" t="s">
        <v>19</v>
      </c>
      <c r="C29">
        <v>0.88700000000000001</v>
      </c>
      <c r="D29">
        <v>1.6799999999999999E-2</v>
      </c>
      <c r="E29">
        <v>0</v>
      </c>
      <c r="F29">
        <v>0</v>
      </c>
      <c r="G29">
        <v>0</v>
      </c>
      <c r="H29">
        <v>0.8861</v>
      </c>
      <c r="I29">
        <v>1.7000000000000001E-2</v>
      </c>
      <c r="J29">
        <v>0</v>
      </c>
      <c r="K29">
        <v>0</v>
      </c>
      <c r="L29">
        <v>0</v>
      </c>
    </row>
    <row r="30" spans="1:12" x14ac:dyDescent="0.4">
      <c r="A30" t="s">
        <v>17</v>
      </c>
      <c r="B30" t="s">
        <v>19</v>
      </c>
      <c r="C30">
        <v>0.86980000000000002</v>
      </c>
      <c r="D30">
        <v>1.38E-2</v>
      </c>
      <c r="E30">
        <v>0</v>
      </c>
      <c r="F30">
        <v>0</v>
      </c>
      <c r="G30">
        <v>0</v>
      </c>
      <c r="H30">
        <v>0.86829999999999996</v>
      </c>
      <c r="I30">
        <v>1.41E-2</v>
      </c>
      <c r="J30">
        <v>0</v>
      </c>
      <c r="K30">
        <v>0</v>
      </c>
      <c r="L30">
        <v>0</v>
      </c>
    </row>
    <row r="31" spans="1:12" x14ac:dyDescent="0.4">
      <c r="A31" t="s">
        <v>43</v>
      </c>
      <c r="B31" t="s">
        <v>19</v>
      </c>
      <c r="C31">
        <v>0.8891</v>
      </c>
      <c r="D31">
        <v>1.67E-2</v>
      </c>
      <c r="E31">
        <v>0</v>
      </c>
      <c r="F31">
        <v>0</v>
      </c>
      <c r="G31">
        <v>0</v>
      </c>
      <c r="H31">
        <v>0.88839999999999997</v>
      </c>
      <c r="I31">
        <v>1.7399999999999999E-2</v>
      </c>
      <c r="J31">
        <v>0</v>
      </c>
      <c r="K31">
        <v>0</v>
      </c>
      <c r="L31">
        <v>0</v>
      </c>
    </row>
    <row r="32" spans="1:12" x14ac:dyDescent="0.4">
      <c r="A32" t="s">
        <v>49</v>
      </c>
      <c r="B32" t="s">
        <v>19</v>
      </c>
      <c r="C32">
        <v>0.87360000000000004</v>
      </c>
      <c r="D32">
        <v>1.32E-2</v>
      </c>
      <c r="E32">
        <v>0</v>
      </c>
      <c r="F32">
        <v>0</v>
      </c>
      <c r="G32">
        <v>0</v>
      </c>
      <c r="H32">
        <v>0.87290000000000001</v>
      </c>
      <c r="I32">
        <v>1.35E-2</v>
      </c>
      <c r="J32">
        <v>0</v>
      </c>
      <c r="K32">
        <v>0</v>
      </c>
      <c r="L32">
        <v>0</v>
      </c>
    </row>
    <row r="33" spans="1:12" x14ac:dyDescent="0.4">
      <c r="A33" t="s">
        <v>47</v>
      </c>
      <c r="B33" t="s">
        <v>19</v>
      </c>
      <c r="C33">
        <v>0.86499999999999999</v>
      </c>
      <c r="D33">
        <v>1.32E-2</v>
      </c>
      <c r="E33">
        <v>0</v>
      </c>
      <c r="F33">
        <v>0</v>
      </c>
      <c r="G33">
        <v>0</v>
      </c>
      <c r="H33">
        <v>0.86409999999999998</v>
      </c>
      <c r="I33">
        <v>1.3299999999999999E-2</v>
      </c>
      <c r="J33">
        <v>0</v>
      </c>
      <c r="K33">
        <v>0</v>
      </c>
      <c r="L33">
        <v>0</v>
      </c>
    </row>
    <row r="34" spans="1:12" x14ac:dyDescent="0.4">
      <c r="A34" t="s">
        <v>46</v>
      </c>
      <c r="B34" t="s">
        <v>19</v>
      </c>
      <c r="C34">
        <v>0.86499999999999999</v>
      </c>
      <c r="D34">
        <v>1.32E-2</v>
      </c>
      <c r="E34">
        <v>0</v>
      </c>
      <c r="F34">
        <v>0</v>
      </c>
      <c r="G34">
        <v>0</v>
      </c>
      <c r="H34">
        <v>0.86409999999999998</v>
      </c>
      <c r="I34">
        <v>1.3299999999999999E-2</v>
      </c>
      <c r="J34">
        <v>0</v>
      </c>
      <c r="K34">
        <v>0</v>
      </c>
      <c r="L34">
        <v>0</v>
      </c>
    </row>
    <row r="35" spans="1:12" x14ac:dyDescent="0.4">
      <c r="A35" t="s">
        <v>49</v>
      </c>
      <c r="B35" t="s">
        <v>18</v>
      </c>
      <c r="C35">
        <v>0.86819999999999997</v>
      </c>
      <c r="D35">
        <v>1.29E-2</v>
      </c>
      <c r="E35">
        <v>0</v>
      </c>
      <c r="F35">
        <v>0</v>
      </c>
      <c r="G35">
        <v>0</v>
      </c>
      <c r="H35">
        <v>0.86739999999999995</v>
      </c>
      <c r="I35">
        <v>1.3299999999999999E-2</v>
      </c>
      <c r="J35">
        <v>0</v>
      </c>
      <c r="K35">
        <v>0</v>
      </c>
      <c r="L35">
        <v>0</v>
      </c>
    </row>
    <row r="36" spans="1:12" x14ac:dyDescent="0.4">
      <c r="A36" t="s">
        <v>49</v>
      </c>
      <c r="B36" t="s">
        <v>20</v>
      </c>
      <c r="C36">
        <v>0.86939999999999995</v>
      </c>
      <c r="D36">
        <v>1.29E-2</v>
      </c>
      <c r="E36">
        <v>0</v>
      </c>
      <c r="F36">
        <v>0</v>
      </c>
      <c r="G36">
        <v>0</v>
      </c>
      <c r="H36">
        <v>0.8669</v>
      </c>
      <c r="I36">
        <v>1.34E-2</v>
      </c>
      <c r="J36">
        <v>0</v>
      </c>
      <c r="K36">
        <v>0</v>
      </c>
      <c r="L36">
        <v>0</v>
      </c>
    </row>
    <row r="37" spans="1:12" x14ac:dyDescent="0.4">
      <c r="A37" t="s">
        <v>42</v>
      </c>
      <c r="B37" t="s">
        <v>19</v>
      </c>
      <c r="C37">
        <v>0.88929999999999998</v>
      </c>
      <c r="D37">
        <v>1.83E-2</v>
      </c>
      <c r="E37">
        <v>0</v>
      </c>
      <c r="F37">
        <v>0</v>
      </c>
      <c r="G37">
        <v>0</v>
      </c>
      <c r="H37">
        <v>0.88870000000000005</v>
      </c>
      <c r="I37">
        <v>1.8700000000000001E-2</v>
      </c>
      <c r="J37">
        <v>0</v>
      </c>
      <c r="K37">
        <v>0</v>
      </c>
      <c r="L37">
        <v>0</v>
      </c>
    </row>
    <row r="38" spans="1:12" x14ac:dyDescent="0.4">
      <c r="A38" t="s">
        <v>41</v>
      </c>
      <c r="B38" t="s">
        <v>19</v>
      </c>
      <c r="C38">
        <v>0.88970000000000005</v>
      </c>
      <c r="D38">
        <v>1.7899999999999999E-2</v>
      </c>
      <c r="E38">
        <v>0</v>
      </c>
      <c r="F38">
        <v>0</v>
      </c>
      <c r="G38">
        <v>0</v>
      </c>
      <c r="H38">
        <v>0.88859999999999995</v>
      </c>
      <c r="I38">
        <v>1.8200000000000001E-2</v>
      </c>
      <c r="J38">
        <v>0</v>
      </c>
      <c r="K38">
        <v>0</v>
      </c>
      <c r="L38">
        <v>0</v>
      </c>
    </row>
    <row r="39" spans="1:12" x14ac:dyDescent="0.4">
      <c r="A39" t="s">
        <v>45</v>
      </c>
      <c r="B39" t="s">
        <v>19</v>
      </c>
      <c r="C39">
        <v>0.87670000000000003</v>
      </c>
      <c r="D39">
        <v>1.6400000000000001E-2</v>
      </c>
      <c r="E39">
        <v>0</v>
      </c>
      <c r="F39">
        <v>0</v>
      </c>
      <c r="G39">
        <v>0</v>
      </c>
      <c r="H39">
        <v>0.87629999999999997</v>
      </c>
      <c r="I39">
        <v>1.6500000000000001E-2</v>
      </c>
      <c r="J39">
        <v>0</v>
      </c>
      <c r="K39">
        <v>0</v>
      </c>
      <c r="L39">
        <v>0</v>
      </c>
    </row>
    <row r="40" spans="1:12" x14ac:dyDescent="0.4">
      <c r="A40" t="s">
        <v>50</v>
      </c>
      <c r="B40" t="s">
        <v>19</v>
      </c>
      <c r="C40">
        <v>0.87629999999999997</v>
      </c>
      <c r="D40">
        <v>8.0999999999999996E-3</v>
      </c>
      <c r="E40">
        <v>0</v>
      </c>
      <c r="F40">
        <v>0</v>
      </c>
      <c r="G40">
        <v>0</v>
      </c>
      <c r="H40">
        <v>0.87490000000000001</v>
      </c>
      <c r="I40">
        <v>8.0999999999999996E-3</v>
      </c>
      <c r="J40">
        <v>0</v>
      </c>
      <c r="K40">
        <v>0</v>
      </c>
      <c r="L40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8317-DE98-47D1-9587-B9E7BF7EF8F2}">
  <dimension ref="A1:L45"/>
  <sheetViews>
    <sheetView zoomScale="85" zoomScaleNormal="85" workbookViewId="0">
      <selection activeCell="I13" sqref="I13"/>
    </sheetView>
  </sheetViews>
  <sheetFormatPr defaultRowHeight="17" x14ac:dyDescent="0.4"/>
  <cols>
    <col min="1" max="1" width="20.453125" bestFit="1" customWidth="1"/>
    <col min="2" max="2" width="17.54296875" bestFit="1" customWidth="1"/>
    <col min="3" max="3" width="11.90625" bestFit="1" customWidth="1"/>
    <col min="4" max="4" width="15.08984375" bestFit="1" customWidth="1"/>
    <col min="5" max="5" width="17.453125" bestFit="1" customWidth="1"/>
    <col min="6" max="6" width="14.08984375" bestFit="1" customWidth="1"/>
    <col min="7" max="7" width="10.7265625" bestFit="1" customWidth="1"/>
    <col min="8" max="8" width="10.90625" bestFit="1" customWidth="1"/>
    <col min="9" max="9" width="14.08984375" bestFit="1" customWidth="1"/>
    <col min="10" max="10" width="16.36328125" bestFit="1" customWidth="1"/>
    <col min="11" max="11" width="13" bestFit="1" customWidth="1"/>
    <col min="12" max="12" width="9.7265625" bestFit="1" customWidth="1"/>
  </cols>
  <sheetData>
    <row r="1" spans="1:12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4">
      <c r="A2" t="s">
        <v>41</v>
      </c>
      <c r="B2" t="s">
        <v>21</v>
      </c>
      <c r="C2">
        <v>0.92320000000000002</v>
      </c>
      <c r="D2">
        <v>0.74670000000000003</v>
      </c>
      <c r="E2">
        <v>0.84460000000000002</v>
      </c>
      <c r="F2">
        <v>0.69310000000000005</v>
      </c>
      <c r="G2">
        <v>0.76139999999999997</v>
      </c>
      <c r="H2">
        <v>0.91390000000000005</v>
      </c>
      <c r="I2">
        <v>0.71830000000000005</v>
      </c>
      <c r="J2">
        <v>0.82350000000000001</v>
      </c>
      <c r="K2">
        <v>0.67900000000000005</v>
      </c>
      <c r="L2">
        <v>0.74429999999999996</v>
      </c>
    </row>
    <row r="3" spans="1:12" x14ac:dyDescent="0.4">
      <c r="A3" t="s">
        <v>42</v>
      </c>
      <c r="B3" t="s">
        <v>21</v>
      </c>
      <c r="C3">
        <v>0.92320000000000002</v>
      </c>
      <c r="D3">
        <v>0.74670000000000003</v>
      </c>
      <c r="E3">
        <v>0.84460000000000002</v>
      </c>
      <c r="F3">
        <v>0.69310000000000005</v>
      </c>
      <c r="G3">
        <v>0.76139999999999997</v>
      </c>
      <c r="H3">
        <v>0.91390000000000005</v>
      </c>
      <c r="I3">
        <v>0.71830000000000005</v>
      </c>
      <c r="J3">
        <v>0.82350000000000001</v>
      </c>
      <c r="K3">
        <v>0.67900000000000005</v>
      </c>
      <c r="L3">
        <v>0.74429999999999996</v>
      </c>
    </row>
    <row r="4" spans="1:12" x14ac:dyDescent="0.4">
      <c r="A4" t="s">
        <v>46</v>
      </c>
      <c r="B4" t="s">
        <v>21</v>
      </c>
      <c r="C4">
        <v>0.92079999999999995</v>
      </c>
      <c r="D4">
        <v>0.74170000000000003</v>
      </c>
      <c r="E4">
        <v>0.85170000000000001</v>
      </c>
      <c r="F4">
        <v>0.68230000000000002</v>
      </c>
      <c r="G4">
        <v>0.75760000000000005</v>
      </c>
      <c r="H4">
        <v>0.9123</v>
      </c>
      <c r="I4">
        <v>0.70909999999999995</v>
      </c>
      <c r="J4">
        <v>0.83220000000000005</v>
      </c>
      <c r="K4">
        <v>0.6623</v>
      </c>
      <c r="L4">
        <v>0.73760000000000003</v>
      </c>
    </row>
    <row r="5" spans="1:12" x14ac:dyDescent="0.4">
      <c r="A5" t="s">
        <v>47</v>
      </c>
      <c r="B5" t="s">
        <v>21</v>
      </c>
      <c r="C5">
        <v>0.92079999999999995</v>
      </c>
      <c r="D5">
        <v>0.74170000000000003</v>
      </c>
      <c r="E5">
        <v>0.85170000000000001</v>
      </c>
      <c r="F5">
        <v>0.68230000000000002</v>
      </c>
      <c r="G5">
        <v>0.75760000000000005</v>
      </c>
      <c r="H5">
        <v>0.9123</v>
      </c>
      <c r="I5">
        <v>0.70909999999999995</v>
      </c>
      <c r="J5">
        <v>0.83220000000000005</v>
      </c>
      <c r="K5">
        <v>0.6623</v>
      </c>
      <c r="L5">
        <v>0.73760000000000003</v>
      </c>
    </row>
    <row r="6" spans="1:12" x14ac:dyDescent="0.4">
      <c r="A6" t="s">
        <v>48</v>
      </c>
      <c r="B6" t="s">
        <v>21</v>
      </c>
      <c r="C6">
        <v>0.92079999999999995</v>
      </c>
      <c r="D6">
        <v>0.74170000000000003</v>
      </c>
      <c r="E6">
        <v>0.85170000000000001</v>
      </c>
      <c r="F6">
        <v>0.68230000000000002</v>
      </c>
      <c r="G6">
        <v>0.75760000000000005</v>
      </c>
      <c r="H6">
        <v>0.9123</v>
      </c>
      <c r="I6">
        <v>0.70909999999999995</v>
      </c>
      <c r="J6">
        <v>0.83220000000000005</v>
      </c>
      <c r="K6">
        <v>0.6623</v>
      </c>
      <c r="L6">
        <v>0.73760000000000003</v>
      </c>
    </row>
    <row r="7" spans="1:12" x14ac:dyDescent="0.4">
      <c r="A7" t="s">
        <v>45</v>
      </c>
      <c r="B7" t="s">
        <v>21</v>
      </c>
      <c r="C7">
        <v>0.91930000000000001</v>
      </c>
      <c r="D7">
        <v>0.73650000000000004</v>
      </c>
      <c r="E7">
        <v>0.85170000000000001</v>
      </c>
      <c r="F7">
        <v>0.68920000000000003</v>
      </c>
      <c r="G7">
        <v>0.76190000000000002</v>
      </c>
      <c r="H7">
        <v>0.90569999999999995</v>
      </c>
      <c r="I7">
        <v>0.69740000000000002</v>
      </c>
      <c r="J7">
        <v>0.8286</v>
      </c>
      <c r="K7">
        <v>0.6673</v>
      </c>
      <c r="L7">
        <v>0.73919999999999997</v>
      </c>
    </row>
    <row r="8" spans="1:12" x14ac:dyDescent="0.4">
      <c r="A8" t="s">
        <v>17</v>
      </c>
      <c r="B8" t="s">
        <v>21</v>
      </c>
      <c r="C8">
        <v>0.91920000000000002</v>
      </c>
      <c r="D8">
        <v>0.73770000000000002</v>
      </c>
      <c r="E8">
        <v>0.85260000000000002</v>
      </c>
      <c r="F8">
        <v>0.69530000000000003</v>
      </c>
      <c r="G8">
        <v>0.76600000000000001</v>
      </c>
      <c r="H8">
        <v>0.90900000000000003</v>
      </c>
      <c r="I8">
        <v>0.69399999999999995</v>
      </c>
      <c r="J8">
        <v>0.82850000000000001</v>
      </c>
      <c r="K8">
        <v>0.66900000000000004</v>
      </c>
      <c r="L8">
        <v>0.74019999999999997</v>
      </c>
    </row>
    <row r="9" spans="1:12" x14ac:dyDescent="0.4">
      <c r="A9" t="s">
        <v>44</v>
      </c>
      <c r="B9" t="s">
        <v>21</v>
      </c>
      <c r="C9">
        <v>0.91920000000000002</v>
      </c>
      <c r="D9">
        <v>0.73770000000000002</v>
      </c>
      <c r="E9">
        <v>0.85260000000000002</v>
      </c>
      <c r="F9">
        <v>0.69530000000000003</v>
      </c>
      <c r="G9">
        <v>0.76600000000000001</v>
      </c>
      <c r="H9">
        <v>0.90900000000000003</v>
      </c>
      <c r="I9">
        <v>0.69399999999999995</v>
      </c>
      <c r="J9">
        <v>0.82850000000000001</v>
      </c>
      <c r="K9">
        <v>0.66900000000000004</v>
      </c>
      <c r="L9">
        <v>0.74019999999999997</v>
      </c>
    </row>
    <row r="10" spans="1:12" x14ac:dyDescent="0.4">
      <c r="A10" t="s">
        <v>43</v>
      </c>
      <c r="B10" t="s">
        <v>21</v>
      </c>
      <c r="C10">
        <v>0.91859999999999997</v>
      </c>
      <c r="D10">
        <v>0.73860000000000003</v>
      </c>
      <c r="E10">
        <v>0.85</v>
      </c>
      <c r="F10">
        <v>0.68740000000000001</v>
      </c>
      <c r="G10">
        <v>0.7601</v>
      </c>
      <c r="H10">
        <v>0.9052</v>
      </c>
      <c r="I10">
        <v>0.70240000000000002</v>
      </c>
      <c r="J10">
        <v>0.83389999999999997</v>
      </c>
      <c r="K10">
        <v>0.66749999999999998</v>
      </c>
      <c r="L10">
        <v>0.74150000000000005</v>
      </c>
    </row>
    <row r="11" spans="1:12" x14ac:dyDescent="0.4">
      <c r="A11" t="s">
        <v>49</v>
      </c>
      <c r="B11" t="s">
        <v>21</v>
      </c>
      <c r="C11">
        <v>0.9163</v>
      </c>
      <c r="D11">
        <v>0.73319999999999996</v>
      </c>
      <c r="E11">
        <v>0.85040000000000004</v>
      </c>
      <c r="F11">
        <v>0.68799999999999994</v>
      </c>
      <c r="G11">
        <v>0.76060000000000005</v>
      </c>
      <c r="H11">
        <v>0.90549999999999997</v>
      </c>
      <c r="I11">
        <v>0.69240000000000002</v>
      </c>
      <c r="J11">
        <v>0.82369999999999999</v>
      </c>
      <c r="K11">
        <v>0.66669999999999996</v>
      </c>
      <c r="L11">
        <v>0.7369</v>
      </c>
    </row>
    <row r="12" spans="1:12" x14ac:dyDescent="0.4">
      <c r="A12" t="s">
        <v>49</v>
      </c>
      <c r="B12" t="s">
        <v>20</v>
      </c>
      <c r="C12">
        <v>0.91239999999999999</v>
      </c>
      <c r="D12">
        <v>8.0500000000000002E-2</v>
      </c>
      <c r="E12">
        <v>3.3E-3</v>
      </c>
      <c r="F12">
        <v>0.96750000000000003</v>
      </c>
      <c r="G12">
        <v>6.4999999999999997E-3</v>
      </c>
      <c r="H12">
        <v>0.90920000000000001</v>
      </c>
      <c r="I12">
        <v>8.1199999999999994E-2</v>
      </c>
      <c r="J12">
        <v>3.3E-3</v>
      </c>
      <c r="K12">
        <v>0.96130000000000004</v>
      </c>
      <c r="L12">
        <v>6.4999999999999997E-3</v>
      </c>
    </row>
    <row r="13" spans="1:12" x14ac:dyDescent="0.4">
      <c r="A13" t="s">
        <v>43</v>
      </c>
      <c r="B13" t="s">
        <v>20</v>
      </c>
      <c r="C13">
        <v>0.91139999999999999</v>
      </c>
      <c r="D13">
        <v>5.4600000000000003E-2</v>
      </c>
      <c r="E13">
        <v>4.7000000000000002E-3</v>
      </c>
      <c r="F13">
        <v>0.93230000000000002</v>
      </c>
      <c r="G13">
        <v>9.4000000000000004E-3</v>
      </c>
      <c r="H13">
        <v>0.90620000000000001</v>
      </c>
      <c r="I13">
        <v>5.1499999999999997E-2</v>
      </c>
      <c r="J13">
        <v>4.7000000000000002E-3</v>
      </c>
      <c r="K13">
        <v>0.92330000000000001</v>
      </c>
      <c r="L13">
        <v>9.2999999999999992E-3</v>
      </c>
    </row>
    <row r="14" spans="1:12" x14ac:dyDescent="0.4">
      <c r="A14" t="s">
        <v>50</v>
      </c>
      <c r="B14" t="s">
        <v>20</v>
      </c>
      <c r="C14">
        <v>0.91069999999999995</v>
      </c>
      <c r="D14">
        <v>3.3700000000000001E-2</v>
      </c>
      <c r="E14">
        <v>2.9499999999999998E-2</v>
      </c>
      <c r="F14">
        <v>0.26550000000000001</v>
      </c>
      <c r="G14">
        <v>5.3100000000000001E-2</v>
      </c>
      <c r="H14">
        <v>0.90710000000000002</v>
      </c>
      <c r="I14">
        <v>3.0700000000000002E-2</v>
      </c>
      <c r="J14">
        <v>2.8799999999999999E-2</v>
      </c>
      <c r="K14">
        <v>0.25969999999999999</v>
      </c>
      <c r="L14">
        <v>5.1900000000000002E-2</v>
      </c>
    </row>
    <row r="15" spans="1:12" x14ac:dyDescent="0.4">
      <c r="A15" t="s">
        <v>45</v>
      </c>
      <c r="B15" t="s">
        <v>20</v>
      </c>
      <c r="C15">
        <v>0.90880000000000005</v>
      </c>
      <c r="D15">
        <v>6.4799999999999996E-2</v>
      </c>
      <c r="E15">
        <v>5.0000000000000001E-3</v>
      </c>
      <c r="F15">
        <v>0.93010000000000004</v>
      </c>
      <c r="G15">
        <v>0.01</v>
      </c>
      <c r="H15">
        <v>0.90339999999999998</v>
      </c>
      <c r="I15">
        <v>6.3100000000000003E-2</v>
      </c>
      <c r="J15">
        <v>5.0000000000000001E-3</v>
      </c>
      <c r="K15">
        <v>0.92030000000000001</v>
      </c>
      <c r="L15">
        <v>9.9000000000000008E-3</v>
      </c>
    </row>
    <row r="16" spans="1:12" x14ac:dyDescent="0.4">
      <c r="A16" t="s">
        <v>48</v>
      </c>
      <c r="B16" t="s">
        <v>20</v>
      </c>
      <c r="C16">
        <v>0.88429999999999997</v>
      </c>
      <c r="D16">
        <v>6.8199999999999997E-2</v>
      </c>
      <c r="E16">
        <v>3.8E-3</v>
      </c>
      <c r="F16">
        <v>0.90359999999999996</v>
      </c>
      <c r="G16">
        <v>7.6E-3</v>
      </c>
      <c r="H16">
        <v>0.88080000000000003</v>
      </c>
      <c r="I16">
        <v>6.6799999999999998E-2</v>
      </c>
      <c r="J16">
        <v>3.8E-3</v>
      </c>
      <c r="K16">
        <v>0.89680000000000004</v>
      </c>
      <c r="L16">
        <v>7.4999999999999997E-3</v>
      </c>
    </row>
    <row r="17" spans="1:12" x14ac:dyDescent="0.4">
      <c r="A17" t="s">
        <v>50</v>
      </c>
      <c r="B17" t="s">
        <v>19</v>
      </c>
      <c r="C17">
        <v>0.87649999999999995</v>
      </c>
      <c r="D17">
        <v>8.0999999999999996E-3</v>
      </c>
      <c r="E17">
        <v>0</v>
      </c>
      <c r="F17">
        <v>0</v>
      </c>
      <c r="G17">
        <v>0</v>
      </c>
      <c r="H17">
        <v>0.87490000000000001</v>
      </c>
      <c r="I17">
        <v>8.0999999999999996E-3</v>
      </c>
      <c r="J17">
        <v>0</v>
      </c>
      <c r="K17">
        <v>0</v>
      </c>
      <c r="L17">
        <v>0</v>
      </c>
    </row>
    <row r="18" spans="1:12" x14ac:dyDescent="0.4">
      <c r="A18" t="s">
        <v>47</v>
      </c>
      <c r="B18" t="s">
        <v>20</v>
      </c>
      <c r="C18">
        <v>0.87139999999999995</v>
      </c>
      <c r="D18">
        <v>4.9599999999999998E-2</v>
      </c>
      <c r="E18">
        <v>5.3E-3</v>
      </c>
      <c r="F18">
        <v>0.83930000000000005</v>
      </c>
      <c r="G18">
        <v>1.0500000000000001E-2</v>
      </c>
      <c r="H18">
        <v>0.87109999999999999</v>
      </c>
      <c r="I18">
        <v>4.7500000000000001E-2</v>
      </c>
      <c r="J18">
        <v>5.1999999999999998E-3</v>
      </c>
      <c r="K18">
        <v>0.83730000000000004</v>
      </c>
      <c r="L18">
        <v>1.04E-2</v>
      </c>
    </row>
    <row r="19" spans="1:12" x14ac:dyDescent="0.4">
      <c r="A19" t="s">
        <v>43</v>
      </c>
      <c r="B19" t="s">
        <v>19</v>
      </c>
      <c r="C19">
        <v>0.86870000000000003</v>
      </c>
      <c r="D19">
        <v>1.34E-2</v>
      </c>
      <c r="E19">
        <v>0</v>
      </c>
      <c r="F19">
        <v>0</v>
      </c>
      <c r="G19">
        <v>0</v>
      </c>
      <c r="H19">
        <v>0.86829999999999996</v>
      </c>
      <c r="I19">
        <v>1.4E-2</v>
      </c>
      <c r="J19">
        <v>0</v>
      </c>
      <c r="K19">
        <v>0</v>
      </c>
      <c r="L19">
        <v>0</v>
      </c>
    </row>
    <row r="20" spans="1:12" x14ac:dyDescent="0.4">
      <c r="A20" t="s">
        <v>17</v>
      </c>
      <c r="B20" t="s">
        <v>19</v>
      </c>
      <c r="C20">
        <v>0.86870000000000003</v>
      </c>
      <c r="D20">
        <v>1.34E-2</v>
      </c>
      <c r="E20">
        <v>0</v>
      </c>
      <c r="F20">
        <v>0</v>
      </c>
      <c r="G20">
        <v>0</v>
      </c>
      <c r="H20">
        <v>0.86829999999999996</v>
      </c>
      <c r="I20">
        <v>1.4E-2</v>
      </c>
      <c r="J20">
        <v>0</v>
      </c>
      <c r="K20">
        <v>0</v>
      </c>
      <c r="L20">
        <v>0</v>
      </c>
    </row>
    <row r="21" spans="1:12" x14ac:dyDescent="0.4">
      <c r="A21" t="s">
        <v>48</v>
      </c>
      <c r="B21" t="s">
        <v>19</v>
      </c>
      <c r="C21">
        <v>0.86870000000000003</v>
      </c>
      <c r="D21">
        <v>1.34E-2</v>
      </c>
      <c r="E21">
        <v>0</v>
      </c>
      <c r="F21">
        <v>0</v>
      </c>
      <c r="G21">
        <v>0</v>
      </c>
      <c r="H21">
        <v>0.86829999999999996</v>
      </c>
      <c r="I21">
        <v>1.4E-2</v>
      </c>
      <c r="J21">
        <v>0</v>
      </c>
      <c r="K21">
        <v>0</v>
      </c>
      <c r="L21">
        <v>0</v>
      </c>
    </row>
    <row r="22" spans="1:12" x14ac:dyDescent="0.4">
      <c r="A22" t="s">
        <v>47</v>
      </c>
      <c r="B22" t="s">
        <v>19</v>
      </c>
      <c r="C22">
        <v>0.86870000000000003</v>
      </c>
      <c r="D22">
        <v>1.34E-2</v>
      </c>
      <c r="E22">
        <v>0</v>
      </c>
      <c r="F22">
        <v>0</v>
      </c>
      <c r="G22">
        <v>0</v>
      </c>
      <c r="H22">
        <v>0.86829999999999996</v>
      </c>
      <c r="I22">
        <v>1.4E-2</v>
      </c>
      <c r="J22">
        <v>0</v>
      </c>
      <c r="K22">
        <v>0</v>
      </c>
      <c r="L22">
        <v>0</v>
      </c>
    </row>
    <row r="23" spans="1:12" x14ac:dyDescent="0.4">
      <c r="A23" t="s">
        <v>46</v>
      </c>
      <c r="B23" t="s">
        <v>19</v>
      </c>
      <c r="C23">
        <v>0.86870000000000003</v>
      </c>
      <c r="D23">
        <v>1.34E-2</v>
      </c>
      <c r="E23">
        <v>0</v>
      </c>
      <c r="F23">
        <v>0</v>
      </c>
      <c r="G23">
        <v>0</v>
      </c>
      <c r="H23">
        <v>0.86829999999999996</v>
      </c>
      <c r="I23">
        <v>1.4E-2</v>
      </c>
      <c r="J23">
        <v>0</v>
      </c>
      <c r="K23">
        <v>0</v>
      </c>
      <c r="L23">
        <v>0</v>
      </c>
    </row>
    <row r="24" spans="1:12" x14ac:dyDescent="0.4">
      <c r="A24" t="s">
        <v>49</v>
      </c>
      <c r="B24" t="s">
        <v>19</v>
      </c>
      <c r="C24">
        <v>0.86870000000000003</v>
      </c>
      <c r="D24">
        <v>1.34E-2</v>
      </c>
      <c r="E24">
        <v>0</v>
      </c>
      <c r="F24">
        <v>0</v>
      </c>
      <c r="G24">
        <v>0</v>
      </c>
      <c r="H24">
        <v>0.86829999999999996</v>
      </c>
      <c r="I24">
        <v>1.4E-2</v>
      </c>
      <c r="J24">
        <v>0</v>
      </c>
      <c r="K24">
        <v>0</v>
      </c>
      <c r="L24">
        <v>0</v>
      </c>
    </row>
    <row r="25" spans="1:12" x14ac:dyDescent="0.4">
      <c r="A25" t="s">
        <v>44</v>
      </c>
      <c r="B25" t="s">
        <v>19</v>
      </c>
      <c r="C25">
        <v>0.86870000000000003</v>
      </c>
      <c r="D25">
        <v>1.34E-2</v>
      </c>
      <c r="E25">
        <v>0</v>
      </c>
      <c r="F25">
        <v>0</v>
      </c>
      <c r="G25">
        <v>0</v>
      </c>
      <c r="H25">
        <v>0.86829999999999996</v>
      </c>
      <c r="I25">
        <v>1.4E-2</v>
      </c>
      <c r="J25">
        <v>0</v>
      </c>
      <c r="K25">
        <v>0</v>
      </c>
      <c r="L25">
        <v>0</v>
      </c>
    </row>
    <row r="26" spans="1:12" x14ac:dyDescent="0.4">
      <c r="A26" t="s">
        <v>42</v>
      </c>
      <c r="B26" t="s">
        <v>19</v>
      </c>
      <c r="C26">
        <v>0.86870000000000003</v>
      </c>
      <c r="D26">
        <v>1.34E-2</v>
      </c>
      <c r="E26">
        <v>0</v>
      </c>
      <c r="F26">
        <v>0</v>
      </c>
      <c r="G26">
        <v>0</v>
      </c>
      <c r="H26">
        <v>0.86829999999999996</v>
      </c>
      <c r="I26">
        <v>1.4E-2</v>
      </c>
      <c r="J26">
        <v>0</v>
      </c>
      <c r="K26">
        <v>0</v>
      </c>
      <c r="L26">
        <v>0</v>
      </c>
    </row>
    <row r="27" spans="1:12" x14ac:dyDescent="0.4">
      <c r="A27" t="s">
        <v>41</v>
      </c>
      <c r="B27" t="s">
        <v>19</v>
      </c>
      <c r="C27">
        <v>0.86870000000000003</v>
      </c>
      <c r="D27">
        <v>1.34E-2</v>
      </c>
      <c r="E27">
        <v>0</v>
      </c>
      <c r="F27">
        <v>0</v>
      </c>
      <c r="G27">
        <v>0</v>
      </c>
      <c r="H27">
        <v>0.86829999999999996</v>
      </c>
      <c r="I27">
        <v>1.4E-2</v>
      </c>
      <c r="J27">
        <v>0</v>
      </c>
      <c r="K27">
        <v>0</v>
      </c>
      <c r="L27">
        <v>0</v>
      </c>
    </row>
    <row r="28" spans="1:12" x14ac:dyDescent="0.4">
      <c r="A28" t="s">
        <v>45</v>
      </c>
      <c r="B28" t="s">
        <v>19</v>
      </c>
      <c r="C28">
        <v>0.86870000000000003</v>
      </c>
      <c r="D28">
        <v>1.34E-2</v>
      </c>
      <c r="E28">
        <v>0</v>
      </c>
      <c r="F28">
        <v>0</v>
      </c>
      <c r="G28">
        <v>0</v>
      </c>
      <c r="H28">
        <v>0.86829999999999996</v>
      </c>
      <c r="I28">
        <v>1.4E-2</v>
      </c>
      <c r="J28">
        <v>0</v>
      </c>
      <c r="K28">
        <v>0</v>
      </c>
      <c r="L28">
        <v>0</v>
      </c>
    </row>
    <row r="29" spans="1:12" x14ac:dyDescent="0.4">
      <c r="A29" t="s">
        <v>44</v>
      </c>
      <c r="B29" t="s">
        <v>20</v>
      </c>
      <c r="C29">
        <v>0.86860000000000004</v>
      </c>
      <c r="D29">
        <v>4.7100000000000003E-2</v>
      </c>
      <c r="E29">
        <v>6.1999999999999998E-3</v>
      </c>
      <c r="F29">
        <v>0.80740000000000001</v>
      </c>
      <c r="G29">
        <v>1.23E-2</v>
      </c>
      <c r="H29">
        <v>0.86309999999999998</v>
      </c>
      <c r="I29">
        <v>4.3700000000000003E-2</v>
      </c>
      <c r="J29">
        <v>6.1999999999999998E-3</v>
      </c>
      <c r="K29">
        <v>0.79869999999999997</v>
      </c>
      <c r="L29">
        <v>1.2200000000000001E-2</v>
      </c>
    </row>
    <row r="30" spans="1:12" x14ac:dyDescent="0.4">
      <c r="A30" t="s">
        <v>17</v>
      </c>
      <c r="B30" t="s">
        <v>20</v>
      </c>
      <c r="C30">
        <v>0.86860000000000004</v>
      </c>
      <c r="D30">
        <v>4.7100000000000003E-2</v>
      </c>
      <c r="E30">
        <v>6.1999999999999998E-3</v>
      </c>
      <c r="F30">
        <v>0.80740000000000001</v>
      </c>
      <c r="G30">
        <v>1.23E-2</v>
      </c>
      <c r="H30">
        <v>0.86309999999999998</v>
      </c>
      <c r="I30">
        <v>4.3700000000000003E-2</v>
      </c>
      <c r="J30">
        <v>6.1999999999999998E-3</v>
      </c>
      <c r="K30">
        <v>0.79869999999999997</v>
      </c>
      <c r="L30">
        <v>1.2200000000000001E-2</v>
      </c>
    </row>
    <row r="31" spans="1:12" x14ac:dyDescent="0.4">
      <c r="A31" t="s">
        <v>41</v>
      </c>
      <c r="B31" t="s">
        <v>20</v>
      </c>
      <c r="C31">
        <v>0.86809999999999998</v>
      </c>
      <c r="D31">
        <v>4.5900000000000003E-2</v>
      </c>
      <c r="E31">
        <v>6.3E-3</v>
      </c>
      <c r="F31">
        <v>0.76370000000000005</v>
      </c>
      <c r="G31">
        <v>1.26E-2</v>
      </c>
      <c r="H31">
        <v>0.8639</v>
      </c>
      <c r="I31">
        <v>4.2700000000000002E-2</v>
      </c>
      <c r="J31">
        <v>6.3E-3</v>
      </c>
      <c r="K31">
        <v>0.75749999999999995</v>
      </c>
      <c r="L31">
        <v>1.24E-2</v>
      </c>
    </row>
    <row r="32" spans="1:12" x14ac:dyDescent="0.4">
      <c r="A32" t="s">
        <v>17</v>
      </c>
      <c r="B32" t="s">
        <v>18</v>
      </c>
      <c r="C32">
        <v>0.86660000000000004</v>
      </c>
      <c r="D32">
        <v>2.7300000000000001E-2</v>
      </c>
      <c r="E32">
        <v>5.0599999999999999E-2</v>
      </c>
      <c r="F32">
        <v>0.14330000000000001</v>
      </c>
      <c r="G32">
        <v>7.4700000000000003E-2</v>
      </c>
      <c r="H32">
        <v>0.86150000000000004</v>
      </c>
      <c r="I32">
        <v>2.5399999999999999E-2</v>
      </c>
      <c r="J32">
        <v>4.9799999999999997E-2</v>
      </c>
      <c r="K32">
        <v>0.13980000000000001</v>
      </c>
      <c r="L32">
        <v>7.3400000000000007E-2</v>
      </c>
    </row>
    <row r="33" spans="1:12" x14ac:dyDescent="0.4">
      <c r="A33" t="s">
        <v>46</v>
      </c>
      <c r="B33" t="s">
        <v>18</v>
      </c>
      <c r="C33">
        <v>0.86660000000000004</v>
      </c>
      <c r="D33">
        <v>2.7300000000000001E-2</v>
      </c>
      <c r="E33">
        <v>5.0599999999999999E-2</v>
      </c>
      <c r="F33">
        <v>0.14330000000000001</v>
      </c>
      <c r="G33">
        <v>7.4700000000000003E-2</v>
      </c>
      <c r="H33">
        <v>0.86150000000000004</v>
      </c>
      <c r="I33">
        <v>2.5399999999999999E-2</v>
      </c>
      <c r="J33">
        <v>4.9799999999999997E-2</v>
      </c>
      <c r="K33">
        <v>0.13980000000000001</v>
      </c>
      <c r="L33">
        <v>7.3400000000000007E-2</v>
      </c>
    </row>
    <row r="34" spans="1:12" x14ac:dyDescent="0.4">
      <c r="A34" t="s">
        <v>41</v>
      </c>
      <c r="B34" t="s">
        <v>18</v>
      </c>
      <c r="C34">
        <v>0.86660000000000004</v>
      </c>
      <c r="D34">
        <v>2.7300000000000001E-2</v>
      </c>
      <c r="E34">
        <v>5.0599999999999999E-2</v>
      </c>
      <c r="F34">
        <v>0.14330000000000001</v>
      </c>
      <c r="G34">
        <v>7.4700000000000003E-2</v>
      </c>
      <c r="H34">
        <v>0.86150000000000004</v>
      </c>
      <c r="I34">
        <v>2.5399999999999999E-2</v>
      </c>
      <c r="J34">
        <v>4.9799999999999997E-2</v>
      </c>
      <c r="K34">
        <v>0.13980000000000001</v>
      </c>
      <c r="L34">
        <v>7.3400000000000007E-2</v>
      </c>
    </row>
    <row r="35" spans="1:12" x14ac:dyDescent="0.4">
      <c r="A35" t="s">
        <v>45</v>
      </c>
      <c r="B35" t="s">
        <v>18</v>
      </c>
      <c r="C35">
        <v>0.86660000000000004</v>
      </c>
      <c r="D35">
        <v>2.7300000000000001E-2</v>
      </c>
      <c r="E35">
        <v>5.0599999999999999E-2</v>
      </c>
      <c r="F35">
        <v>0.14330000000000001</v>
      </c>
      <c r="G35">
        <v>7.4700000000000003E-2</v>
      </c>
      <c r="H35">
        <v>0.86150000000000004</v>
      </c>
      <c r="I35">
        <v>2.5399999999999999E-2</v>
      </c>
      <c r="J35">
        <v>4.9799999999999997E-2</v>
      </c>
      <c r="K35">
        <v>0.13980000000000001</v>
      </c>
      <c r="L35">
        <v>7.3400000000000007E-2</v>
      </c>
    </row>
    <row r="36" spans="1:12" x14ac:dyDescent="0.4">
      <c r="A36" t="s">
        <v>42</v>
      </c>
      <c r="B36" t="s">
        <v>18</v>
      </c>
      <c r="C36">
        <v>0.86660000000000004</v>
      </c>
      <c r="D36">
        <v>2.7300000000000001E-2</v>
      </c>
      <c r="E36">
        <v>5.0599999999999999E-2</v>
      </c>
      <c r="F36">
        <v>0.14330000000000001</v>
      </c>
      <c r="G36">
        <v>7.4700000000000003E-2</v>
      </c>
      <c r="H36">
        <v>0.86150000000000004</v>
      </c>
      <c r="I36">
        <v>2.5399999999999999E-2</v>
      </c>
      <c r="J36">
        <v>4.9799999999999997E-2</v>
      </c>
      <c r="K36">
        <v>0.13980000000000001</v>
      </c>
      <c r="L36">
        <v>7.3400000000000007E-2</v>
      </c>
    </row>
    <row r="37" spans="1:12" x14ac:dyDescent="0.4">
      <c r="A37" t="s">
        <v>44</v>
      </c>
      <c r="B37" t="s">
        <v>18</v>
      </c>
      <c r="C37">
        <v>0.86660000000000004</v>
      </c>
      <c r="D37">
        <v>2.7300000000000001E-2</v>
      </c>
      <c r="E37">
        <v>5.0599999999999999E-2</v>
      </c>
      <c r="F37">
        <v>0.14330000000000001</v>
      </c>
      <c r="G37">
        <v>7.4700000000000003E-2</v>
      </c>
      <c r="H37">
        <v>0.86150000000000004</v>
      </c>
      <c r="I37">
        <v>2.5399999999999999E-2</v>
      </c>
      <c r="J37">
        <v>4.9799999999999997E-2</v>
      </c>
      <c r="K37">
        <v>0.13980000000000001</v>
      </c>
      <c r="L37">
        <v>7.3400000000000007E-2</v>
      </c>
    </row>
    <row r="38" spans="1:12" x14ac:dyDescent="0.4">
      <c r="A38" t="s">
        <v>47</v>
      </c>
      <c r="B38" t="s">
        <v>18</v>
      </c>
      <c r="C38">
        <v>0.86660000000000004</v>
      </c>
      <c r="D38">
        <v>2.7300000000000001E-2</v>
      </c>
      <c r="E38">
        <v>5.0599999999999999E-2</v>
      </c>
      <c r="F38">
        <v>0.14330000000000001</v>
      </c>
      <c r="G38">
        <v>7.4700000000000003E-2</v>
      </c>
      <c r="H38">
        <v>0.86150000000000004</v>
      </c>
      <c r="I38">
        <v>2.5399999999999999E-2</v>
      </c>
      <c r="J38">
        <v>4.9799999999999997E-2</v>
      </c>
      <c r="K38">
        <v>0.13980000000000001</v>
      </c>
      <c r="L38">
        <v>7.3400000000000007E-2</v>
      </c>
    </row>
    <row r="39" spans="1:12" x14ac:dyDescent="0.4">
      <c r="A39" t="s">
        <v>48</v>
      </c>
      <c r="B39" t="s">
        <v>18</v>
      </c>
      <c r="C39">
        <v>0.86660000000000004</v>
      </c>
      <c r="D39">
        <v>2.7300000000000001E-2</v>
      </c>
      <c r="E39">
        <v>5.0599999999999999E-2</v>
      </c>
      <c r="F39">
        <v>0.14330000000000001</v>
      </c>
      <c r="G39">
        <v>7.4700000000000003E-2</v>
      </c>
      <c r="H39">
        <v>0.86150000000000004</v>
      </c>
      <c r="I39">
        <v>2.5399999999999999E-2</v>
      </c>
      <c r="J39">
        <v>4.9799999999999997E-2</v>
      </c>
      <c r="K39">
        <v>0.13980000000000001</v>
      </c>
      <c r="L39">
        <v>7.3400000000000007E-2</v>
      </c>
    </row>
    <row r="40" spans="1:12" x14ac:dyDescent="0.4">
      <c r="A40" t="s">
        <v>43</v>
      </c>
      <c r="B40" t="s">
        <v>18</v>
      </c>
      <c r="C40">
        <v>0.86660000000000004</v>
      </c>
      <c r="D40">
        <v>2.7300000000000001E-2</v>
      </c>
      <c r="E40">
        <v>5.0599999999999999E-2</v>
      </c>
      <c r="F40">
        <v>0.14330000000000001</v>
      </c>
      <c r="G40">
        <v>7.4700000000000003E-2</v>
      </c>
      <c r="H40">
        <v>0.86150000000000004</v>
      </c>
      <c r="I40">
        <v>2.5399999999999999E-2</v>
      </c>
      <c r="J40">
        <v>4.9799999999999997E-2</v>
      </c>
      <c r="K40">
        <v>0.13980000000000001</v>
      </c>
      <c r="L40">
        <v>7.3400000000000007E-2</v>
      </c>
    </row>
    <row r="41" spans="1:12" x14ac:dyDescent="0.4">
      <c r="A41" t="s">
        <v>49</v>
      </c>
      <c r="B41" t="s">
        <v>18</v>
      </c>
      <c r="C41">
        <v>0.86660000000000004</v>
      </c>
      <c r="D41">
        <v>2.7300000000000001E-2</v>
      </c>
      <c r="E41">
        <v>5.0599999999999999E-2</v>
      </c>
      <c r="F41">
        <v>0.14330000000000001</v>
      </c>
      <c r="G41">
        <v>7.4700000000000003E-2</v>
      </c>
      <c r="H41">
        <v>0.86150000000000004</v>
      </c>
      <c r="I41">
        <v>2.5399999999999999E-2</v>
      </c>
      <c r="J41">
        <v>4.9799999999999997E-2</v>
      </c>
      <c r="K41">
        <v>0.13980000000000001</v>
      </c>
      <c r="L41">
        <v>7.3400000000000007E-2</v>
      </c>
    </row>
    <row r="42" spans="1:12" x14ac:dyDescent="0.4">
      <c r="A42" t="s">
        <v>50</v>
      </c>
      <c r="B42" t="s">
        <v>21</v>
      </c>
      <c r="C42">
        <v>0.86639999999999995</v>
      </c>
      <c r="D42">
        <v>0.37590000000000001</v>
      </c>
      <c r="E42">
        <v>0.68959999999999999</v>
      </c>
      <c r="F42">
        <v>0.30570000000000003</v>
      </c>
      <c r="G42">
        <v>0.42359999999999998</v>
      </c>
      <c r="H42">
        <v>0.85499999999999998</v>
      </c>
      <c r="I42">
        <v>0.34499999999999997</v>
      </c>
      <c r="J42">
        <v>0.63419999999999999</v>
      </c>
      <c r="K42">
        <v>0.28649999999999998</v>
      </c>
      <c r="L42">
        <v>0.3947</v>
      </c>
    </row>
    <row r="43" spans="1:12" x14ac:dyDescent="0.4">
      <c r="A43" t="s">
        <v>50</v>
      </c>
      <c r="B43" t="s">
        <v>18</v>
      </c>
      <c r="C43">
        <v>0.85540000000000005</v>
      </c>
      <c r="D43">
        <v>2.35E-2</v>
      </c>
      <c r="E43">
        <v>4.5400000000000003E-2</v>
      </c>
      <c r="F43">
        <v>0.12379999999999999</v>
      </c>
      <c r="G43">
        <v>6.6400000000000001E-2</v>
      </c>
      <c r="H43">
        <v>0.84989999999999999</v>
      </c>
      <c r="I43">
        <v>2.1399999999999999E-2</v>
      </c>
      <c r="J43">
        <v>4.3299999999999998E-2</v>
      </c>
      <c r="K43">
        <v>0.1163</v>
      </c>
      <c r="L43">
        <v>6.3100000000000003E-2</v>
      </c>
    </row>
    <row r="44" spans="1:12" x14ac:dyDescent="0.4">
      <c r="A44" t="s">
        <v>46</v>
      </c>
      <c r="B44" t="s">
        <v>20</v>
      </c>
      <c r="C44">
        <v>0.83989999999999998</v>
      </c>
      <c r="D44">
        <v>4.7500000000000001E-2</v>
      </c>
      <c r="E44">
        <v>4.8999999999999998E-3</v>
      </c>
      <c r="F44">
        <v>0.79759999999999998</v>
      </c>
      <c r="G44">
        <v>9.7000000000000003E-3</v>
      </c>
      <c r="H44">
        <v>0.83740000000000003</v>
      </c>
      <c r="I44">
        <v>4.4499999999999998E-2</v>
      </c>
      <c r="J44">
        <v>4.7999999999999996E-3</v>
      </c>
      <c r="K44">
        <v>0.78649999999999998</v>
      </c>
      <c r="L44">
        <v>9.5999999999999992E-3</v>
      </c>
    </row>
    <row r="45" spans="1:12" x14ac:dyDescent="0.4">
      <c r="A45" t="s">
        <v>42</v>
      </c>
      <c r="B45" t="s">
        <v>20</v>
      </c>
      <c r="C45">
        <v>0.80600000000000005</v>
      </c>
      <c r="D45">
        <v>4.3400000000000001E-2</v>
      </c>
      <c r="E45">
        <v>5.0000000000000001E-3</v>
      </c>
      <c r="F45">
        <v>0.69259999999999999</v>
      </c>
      <c r="G45">
        <v>9.9000000000000008E-3</v>
      </c>
      <c r="H45">
        <v>0.79949999999999999</v>
      </c>
      <c r="I45">
        <v>4.07E-2</v>
      </c>
      <c r="J45">
        <v>4.8999999999999998E-3</v>
      </c>
      <c r="K45">
        <v>0.68269999999999997</v>
      </c>
      <c r="L45">
        <v>9.7000000000000003E-3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7FF1-64A5-4C14-AC71-46783ED8B8A6}">
  <dimension ref="A1:L61"/>
  <sheetViews>
    <sheetView zoomScaleNormal="100" workbookViewId="0">
      <selection activeCell="A18" sqref="A18"/>
    </sheetView>
  </sheetViews>
  <sheetFormatPr defaultRowHeight="17" x14ac:dyDescent="0.4"/>
  <cols>
    <col min="1" max="1" width="20.453125" bestFit="1" customWidth="1"/>
    <col min="2" max="2" width="17.54296875" bestFit="1" customWidth="1"/>
    <col min="3" max="3" width="11.90625" bestFit="1" customWidth="1"/>
    <col min="4" max="4" width="15.08984375" bestFit="1" customWidth="1"/>
    <col min="5" max="5" width="17.453125" bestFit="1" customWidth="1"/>
    <col min="6" max="6" width="14.08984375" bestFit="1" customWidth="1"/>
    <col min="7" max="7" width="10.7265625" bestFit="1" customWidth="1"/>
    <col min="8" max="8" width="10.90625" bestFit="1" customWidth="1"/>
    <col min="9" max="9" width="14.08984375" bestFit="1" customWidth="1"/>
    <col min="10" max="10" width="16.36328125" bestFit="1" customWidth="1"/>
    <col min="11" max="11" width="13" bestFit="1" customWidth="1"/>
    <col min="12" max="12" width="9.7265625" bestFit="1" customWidth="1"/>
  </cols>
  <sheetData>
    <row r="1" spans="1:12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4">
      <c r="A2" t="s">
        <v>17</v>
      </c>
      <c r="B2" t="s">
        <v>21</v>
      </c>
      <c r="C2">
        <v>0.93183400000000005</v>
      </c>
      <c r="D2">
        <v>0.70626699999999998</v>
      </c>
      <c r="E2">
        <v>0.82659099999999996</v>
      </c>
      <c r="F2">
        <v>0.65688000000000002</v>
      </c>
      <c r="G2">
        <v>0.73202800000000001</v>
      </c>
      <c r="H2">
        <v>0.90664100000000003</v>
      </c>
      <c r="I2">
        <v>0.61656599999999995</v>
      </c>
      <c r="J2">
        <v>0.76289700000000005</v>
      </c>
      <c r="K2">
        <v>0.59524999999999995</v>
      </c>
      <c r="L2">
        <v>0.66872600000000004</v>
      </c>
    </row>
    <row r="3" spans="1:12" x14ac:dyDescent="0.4">
      <c r="A3" t="s">
        <v>36</v>
      </c>
      <c r="B3" t="s">
        <v>21</v>
      </c>
      <c r="C3">
        <v>0.93183400000000005</v>
      </c>
      <c r="D3">
        <v>0.70626699999999998</v>
      </c>
      <c r="E3">
        <v>0.82659099999999996</v>
      </c>
      <c r="F3">
        <v>0.65688000000000002</v>
      </c>
      <c r="G3">
        <v>0.73202800000000001</v>
      </c>
      <c r="H3">
        <v>0.90664100000000003</v>
      </c>
      <c r="I3">
        <v>0.61656599999999995</v>
      </c>
      <c r="J3">
        <v>0.76289700000000005</v>
      </c>
      <c r="K3">
        <v>0.59524999999999995</v>
      </c>
      <c r="L3">
        <v>0.66872600000000004</v>
      </c>
    </row>
    <row r="4" spans="1:12" x14ac:dyDescent="0.4">
      <c r="A4" t="s">
        <v>23</v>
      </c>
      <c r="B4" t="s">
        <v>21</v>
      </c>
      <c r="C4">
        <v>0.93183400000000005</v>
      </c>
      <c r="D4">
        <v>0.70626699999999998</v>
      </c>
      <c r="E4">
        <v>0.82659099999999996</v>
      </c>
      <c r="F4">
        <v>0.65688000000000002</v>
      </c>
      <c r="G4">
        <v>0.73202800000000001</v>
      </c>
      <c r="H4">
        <v>0.90664100000000003</v>
      </c>
      <c r="I4">
        <v>0.61656599999999995</v>
      </c>
      <c r="J4">
        <v>0.76289700000000005</v>
      </c>
      <c r="K4">
        <v>0.59524999999999995</v>
      </c>
      <c r="L4">
        <v>0.66872600000000004</v>
      </c>
    </row>
    <row r="5" spans="1:12" x14ac:dyDescent="0.4">
      <c r="A5" t="s">
        <v>24</v>
      </c>
      <c r="B5" t="s">
        <v>21</v>
      </c>
      <c r="C5">
        <v>0.93183400000000005</v>
      </c>
      <c r="D5">
        <v>0.70626699999999998</v>
      </c>
      <c r="E5">
        <v>0.82659099999999996</v>
      </c>
      <c r="F5">
        <v>0.65688000000000002</v>
      </c>
      <c r="G5">
        <v>0.73202800000000001</v>
      </c>
      <c r="H5">
        <v>0.90664100000000003</v>
      </c>
      <c r="I5">
        <v>0.61656599999999995</v>
      </c>
      <c r="J5">
        <v>0.76289700000000005</v>
      </c>
      <c r="K5">
        <v>0.59524999999999995</v>
      </c>
      <c r="L5">
        <v>0.66872600000000004</v>
      </c>
    </row>
    <row r="6" spans="1:12" x14ac:dyDescent="0.4">
      <c r="A6" t="s">
        <v>25</v>
      </c>
      <c r="B6" t="s">
        <v>21</v>
      </c>
      <c r="C6">
        <v>0.93183400000000005</v>
      </c>
      <c r="D6">
        <v>0.70626699999999998</v>
      </c>
      <c r="E6">
        <v>0.82659099999999996</v>
      </c>
      <c r="F6">
        <v>0.65688000000000002</v>
      </c>
      <c r="G6">
        <v>0.73202800000000001</v>
      </c>
      <c r="H6">
        <v>0.90664100000000003</v>
      </c>
      <c r="I6">
        <v>0.61656599999999995</v>
      </c>
      <c r="J6">
        <v>0.76289700000000005</v>
      </c>
      <c r="K6">
        <v>0.59524999999999995</v>
      </c>
      <c r="L6">
        <v>0.66872600000000004</v>
      </c>
    </row>
    <row r="7" spans="1:12" x14ac:dyDescent="0.4">
      <c r="A7" t="s">
        <v>26</v>
      </c>
      <c r="B7" t="s">
        <v>21</v>
      </c>
      <c r="C7">
        <v>0.93183400000000005</v>
      </c>
      <c r="D7">
        <v>0.70626699999999998</v>
      </c>
      <c r="E7">
        <v>0.82659099999999996</v>
      </c>
      <c r="F7">
        <v>0.65688000000000002</v>
      </c>
      <c r="G7">
        <v>0.73202800000000001</v>
      </c>
      <c r="H7">
        <v>0.90664100000000003</v>
      </c>
      <c r="I7">
        <v>0.61656599999999995</v>
      </c>
      <c r="J7">
        <v>0.76289700000000005</v>
      </c>
      <c r="K7">
        <v>0.59524999999999995</v>
      </c>
      <c r="L7">
        <v>0.66872600000000004</v>
      </c>
    </row>
    <row r="8" spans="1:12" x14ac:dyDescent="0.4">
      <c r="A8" t="s">
        <v>27</v>
      </c>
      <c r="B8" t="s">
        <v>21</v>
      </c>
      <c r="C8">
        <v>0.93183400000000005</v>
      </c>
      <c r="D8">
        <v>0.70626699999999998</v>
      </c>
      <c r="E8">
        <v>0.82659099999999996</v>
      </c>
      <c r="F8">
        <v>0.65688000000000002</v>
      </c>
      <c r="G8">
        <v>0.73202800000000001</v>
      </c>
      <c r="H8">
        <v>0.90664100000000003</v>
      </c>
      <c r="I8">
        <v>0.61656599999999995</v>
      </c>
      <c r="J8">
        <v>0.76289700000000005</v>
      </c>
      <c r="K8">
        <v>0.59524999999999995</v>
      </c>
      <c r="L8">
        <v>0.66872600000000004</v>
      </c>
    </row>
    <row r="9" spans="1:12" x14ac:dyDescent="0.4">
      <c r="A9" t="s">
        <v>28</v>
      </c>
      <c r="B9" t="s">
        <v>21</v>
      </c>
      <c r="C9">
        <v>0.93183400000000005</v>
      </c>
      <c r="D9">
        <v>0.70626699999999998</v>
      </c>
      <c r="E9">
        <v>0.82659099999999996</v>
      </c>
      <c r="F9">
        <v>0.65688000000000002</v>
      </c>
      <c r="G9">
        <v>0.73202800000000001</v>
      </c>
      <c r="H9">
        <v>0.90664100000000003</v>
      </c>
      <c r="I9">
        <v>0.61656599999999995</v>
      </c>
      <c r="J9">
        <v>0.76289700000000005</v>
      </c>
      <c r="K9">
        <v>0.59524999999999995</v>
      </c>
      <c r="L9">
        <v>0.66872600000000004</v>
      </c>
    </row>
    <row r="10" spans="1:12" x14ac:dyDescent="0.4">
      <c r="A10" t="s">
        <v>29</v>
      </c>
      <c r="B10" t="s">
        <v>21</v>
      </c>
      <c r="C10">
        <v>0.93183400000000005</v>
      </c>
      <c r="D10">
        <v>0.70626699999999998</v>
      </c>
      <c r="E10">
        <v>0.82659099999999996</v>
      </c>
      <c r="F10">
        <v>0.65688000000000002</v>
      </c>
      <c r="G10">
        <v>0.73202800000000001</v>
      </c>
      <c r="H10">
        <v>0.90664100000000003</v>
      </c>
      <c r="I10">
        <v>0.61656599999999995</v>
      </c>
      <c r="J10">
        <v>0.76289700000000005</v>
      </c>
      <c r="K10">
        <v>0.59524999999999995</v>
      </c>
      <c r="L10">
        <v>0.66872600000000004</v>
      </c>
    </row>
    <row r="11" spans="1:12" x14ac:dyDescent="0.4">
      <c r="A11" t="s">
        <v>30</v>
      </c>
      <c r="B11" t="s">
        <v>21</v>
      </c>
      <c r="C11">
        <v>0.93183400000000005</v>
      </c>
      <c r="D11">
        <v>0.70626699999999998</v>
      </c>
      <c r="E11">
        <v>0.82659099999999996</v>
      </c>
      <c r="F11">
        <v>0.65688000000000002</v>
      </c>
      <c r="G11">
        <v>0.73202800000000001</v>
      </c>
      <c r="H11">
        <v>0.90664100000000003</v>
      </c>
      <c r="I11">
        <v>0.61656599999999995</v>
      </c>
      <c r="J11">
        <v>0.76289700000000005</v>
      </c>
      <c r="K11">
        <v>0.59524999999999995</v>
      </c>
      <c r="L11">
        <v>0.66872600000000004</v>
      </c>
    </row>
    <row r="12" spans="1:12" x14ac:dyDescent="0.4">
      <c r="A12" t="s">
        <v>31</v>
      </c>
      <c r="B12" t="s">
        <v>21</v>
      </c>
      <c r="C12">
        <v>0.93183400000000005</v>
      </c>
      <c r="D12">
        <v>0.70626699999999998</v>
      </c>
      <c r="E12">
        <v>0.82659099999999996</v>
      </c>
      <c r="F12">
        <v>0.65688000000000002</v>
      </c>
      <c r="G12">
        <v>0.73202800000000001</v>
      </c>
      <c r="H12">
        <v>0.90664100000000003</v>
      </c>
      <c r="I12">
        <v>0.61656599999999995</v>
      </c>
      <c r="J12">
        <v>0.76289700000000005</v>
      </c>
      <c r="K12">
        <v>0.59524999999999995</v>
      </c>
      <c r="L12">
        <v>0.66872600000000004</v>
      </c>
    </row>
    <row r="13" spans="1:12" x14ac:dyDescent="0.4">
      <c r="A13" t="s">
        <v>32</v>
      </c>
      <c r="B13" t="s">
        <v>21</v>
      </c>
      <c r="C13">
        <v>0.93183400000000005</v>
      </c>
      <c r="D13">
        <v>0.70626699999999998</v>
      </c>
      <c r="E13">
        <v>0.82659099999999996</v>
      </c>
      <c r="F13">
        <v>0.65688000000000002</v>
      </c>
      <c r="G13">
        <v>0.73202800000000001</v>
      </c>
      <c r="H13">
        <v>0.90664100000000003</v>
      </c>
      <c r="I13">
        <v>0.61656599999999995</v>
      </c>
      <c r="J13">
        <v>0.76289700000000005</v>
      </c>
      <c r="K13">
        <v>0.59524999999999995</v>
      </c>
      <c r="L13">
        <v>0.66872600000000004</v>
      </c>
    </row>
    <row r="14" spans="1:12" x14ac:dyDescent="0.4">
      <c r="A14" t="s">
        <v>33</v>
      </c>
      <c r="B14" t="s">
        <v>21</v>
      </c>
      <c r="C14">
        <v>0.93183400000000005</v>
      </c>
      <c r="D14">
        <v>0.70626699999999998</v>
      </c>
      <c r="E14">
        <v>0.82659099999999996</v>
      </c>
      <c r="F14">
        <v>0.65688000000000002</v>
      </c>
      <c r="G14">
        <v>0.73202800000000001</v>
      </c>
      <c r="H14">
        <v>0.90664100000000003</v>
      </c>
      <c r="I14">
        <v>0.61656599999999995</v>
      </c>
      <c r="J14">
        <v>0.76289700000000005</v>
      </c>
      <c r="K14">
        <v>0.59524999999999995</v>
      </c>
      <c r="L14">
        <v>0.66872600000000004</v>
      </c>
    </row>
    <row r="15" spans="1:12" x14ac:dyDescent="0.4">
      <c r="A15" t="s">
        <v>34</v>
      </c>
      <c r="B15" t="s">
        <v>21</v>
      </c>
      <c r="C15">
        <v>0.93183400000000005</v>
      </c>
      <c r="D15">
        <v>0.70626699999999998</v>
      </c>
      <c r="E15">
        <v>0.82659099999999996</v>
      </c>
      <c r="F15">
        <v>0.65688000000000002</v>
      </c>
      <c r="G15">
        <v>0.73202800000000001</v>
      </c>
      <c r="H15">
        <v>0.90664100000000003</v>
      </c>
      <c r="I15">
        <v>0.61656599999999995</v>
      </c>
      <c r="J15">
        <v>0.76289700000000005</v>
      </c>
      <c r="K15">
        <v>0.59524999999999995</v>
      </c>
      <c r="L15">
        <v>0.66872600000000004</v>
      </c>
    </row>
    <row r="16" spans="1:12" x14ac:dyDescent="0.4">
      <c r="A16" t="s">
        <v>38</v>
      </c>
      <c r="B16" t="s">
        <v>4</v>
      </c>
      <c r="C16">
        <v>0.92694500000000002</v>
      </c>
      <c r="D16">
        <v>0.68613000000000002</v>
      </c>
      <c r="E16">
        <v>0.81826900000000002</v>
      </c>
      <c r="F16">
        <v>0.64316300000000004</v>
      </c>
      <c r="G16">
        <v>0.72022600000000003</v>
      </c>
      <c r="H16">
        <v>0.898123</v>
      </c>
      <c r="I16">
        <v>0.59631500000000004</v>
      </c>
      <c r="J16">
        <v>0.75967200000000001</v>
      </c>
      <c r="K16">
        <v>0.57925000000000004</v>
      </c>
      <c r="L16">
        <v>0.65730500000000003</v>
      </c>
    </row>
    <row r="17" spans="1:12" x14ac:dyDescent="0.4">
      <c r="A17" t="s">
        <v>33</v>
      </c>
      <c r="B17" t="s">
        <v>20</v>
      </c>
      <c r="C17">
        <v>0.80737300000000001</v>
      </c>
      <c r="D17">
        <v>2.4816000000000001E-2</v>
      </c>
      <c r="E17">
        <v>2.4226000000000001E-2</v>
      </c>
      <c r="F17">
        <v>0.212923</v>
      </c>
      <c r="G17">
        <v>4.3503E-2</v>
      </c>
      <c r="H17">
        <v>0.797539</v>
      </c>
      <c r="I17">
        <v>2.0837000000000001E-2</v>
      </c>
      <c r="J17">
        <v>2.3573E-2</v>
      </c>
      <c r="K17">
        <v>0.20799999999999999</v>
      </c>
      <c r="L17">
        <v>4.2347000000000003E-2</v>
      </c>
    </row>
    <row r="18" spans="1:12" x14ac:dyDescent="0.4">
      <c r="A18" t="s">
        <v>29</v>
      </c>
      <c r="B18" t="s">
        <v>20</v>
      </c>
      <c r="C18">
        <v>0.78346499999999997</v>
      </c>
      <c r="D18">
        <v>2.4778000000000001E-2</v>
      </c>
      <c r="E18">
        <v>2.0013E-2</v>
      </c>
      <c r="F18">
        <v>0.273146</v>
      </c>
      <c r="G18">
        <v>3.7294000000000001E-2</v>
      </c>
      <c r="H18">
        <v>0.77551400000000004</v>
      </c>
      <c r="I18">
        <v>2.2523999999999999E-2</v>
      </c>
      <c r="J18">
        <v>1.9344E-2</v>
      </c>
      <c r="K18">
        <v>0.26600000000000001</v>
      </c>
      <c r="L18">
        <v>3.6065E-2</v>
      </c>
    </row>
    <row r="19" spans="1:12" x14ac:dyDescent="0.4">
      <c r="A19" t="s">
        <v>30</v>
      </c>
      <c r="B19" t="s">
        <v>20</v>
      </c>
      <c r="C19">
        <v>0.78346499999999997</v>
      </c>
      <c r="D19">
        <v>2.4778000000000001E-2</v>
      </c>
      <c r="E19">
        <v>2.0013E-2</v>
      </c>
      <c r="F19">
        <v>0.273146</v>
      </c>
      <c r="G19">
        <v>3.7294000000000001E-2</v>
      </c>
      <c r="H19">
        <v>0.77551400000000004</v>
      </c>
      <c r="I19">
        <v>2.2523999999999999E-2</v>
      </c>
      <c r="J19">
        <v>1.9344E-2</v>
      </c>
      <c r="K19">
        <v>0.26600000000000001</v>
      </c>
      <c r="L19">
        <v>3.6065E-2</v>
      </c>
    </row>
    <row r="20" spans="1:12" x14ac:dyDescent="0.4">
      <c r="A20" t="s">
        <v>17</v>
      </c>
      <c r="B20" t="s">
        <v>18</v>
      </c>
      <c r="C20">
        <v>0.75062200000000001</v>
      </c>
      <c r="D20">
        <v>1.1183E-2</v>
      </c>
      <c r="E20">
        <v>2.4299999999999999E-2</v>
      </c>
      <c r="F20">
        <v>7.1473999999999996E-2</v>
      </c>
      <c r="G20">
        <v>3.6269999999999997E-2</v>
      </c>
      <c r="H20">
        <v>0.74423899999999998</v>
      </c>
      <c r="I20">
        <v>9.5919999999999998E-3</v>
      </c>
      <c r="J20">
        <v>2.1760999999999999E-2</v>
      </c>
      <c r="K20">
        <v>6.4000000000000001E-2</v>
      </c>
      <c r="L20">
        <v>3.2479000000000001E-2</v>
      </c>
    </row>
    <row r="21" spans="1:12" x14ac:dyDescent="0.4">
      <c r="A21" t="s">
        <v>22</v>
      </c>
      <c r="B21" t="s">
        <v>18</v>
      </c>
      <c r="C21">
        <v>0.75062200000000001</v>
      </c>
      <c r="D21">
        <v>1.1183E-2</v>
      </c>
      <c r="E21">
        <v>2.4299999999999999E-2</v>
      </c>
      <c r="F21">
        <v>7.1473999999999996E-2</v>
      </c>
      <c r="G21">
        <v>3.6269999999999997E-2</v>
      </c>
      <c r="H21">
        <v>0.74423899999999998</v>
      </c>
      <c r="I21">
        <v>9.5919999999999998E-3</v>
      </c>
      <c r="J21">
        <v>2.1760999999999999E-2</v>
      </c>
      <c r="K21">
        <v>6.4000000000000001E-2</v>
      </c>
      <c r="L21">
        <v>3.2479000000000001E-2</v>
      </c>
    </row>
    <row r="22" spans="1:12" x14ac:dyDescent="0.4">
      <c r="A22" t="s">
        <v>23</v>
      </c>
      <c r="B22" t="s">
        <v>18</v>
      </c>
      <c r="C22">
        <v>0.75062200000000001</v>
      </c>
      <c r="D22">
        <v>1.1183E-2</v>
      </c>
      <c r="E22">
        <v>2.4299999999999999E-2</v>
      </c>
      <c r="F22">
        <v>7.1473999999999996E-2</v>
      </c>
      <c r="G22">
        <v>3.6269999999999997E-2</v>
      </c>
      <c r="H22">
        <v>0.74423899999999998</v>
      </c>
      <c r="I22">
        <v>9.5919999999999998E-3</v>
      </c>
      <c r="J22">
        <v>2.1760999999999999E-2</v>
      </c>
      <c r="K22">
        <v>6.4000000000000001E-2</v>
      </c>
      <c r="L22">
        <v>3.2479000000000001E-2</v>
      </c>
    </row>
    <row r="23" spans="1:12" x14ac:dyDescent="0.4">
      <c r="A23" t="s">
        <v>24</v>
      </c>
      <c r="B23" t="s">
        <v>18</v>
      </c>
      <c r="C23">
        <v>0.75062200000000001</v>
      </c>
      <c r="D23">
        <v>1.1183E-2</v>
      </c>
      <c r="E23">
        <v>2.4299999999999999E-2</v>
      </c>
      <c r="F23">
        <v>7.1473999999999996E-2</v>
      </c>
      <c r="G23">
        <v>3.6269999999999997E-2</v>
      </c>
      <c r="H23">
        <v>0.74423899999999998</v>
      </c>
      <c r="I23">
        <v>9.5919999999999998E-3</v>
      </c>
      <c r="J23">
        <v>2.1760999999999999E-2</v>
      </c>
      <c r="K23">
        <v>6.4000000000000001E-2</v>
      </c>
      <c r="L23">
        <v>3.2479000000000001E-2</v>
      </c>
    </row>
    <row r="24" spans="1:12" x14ac:dyDescent="0.4">
      <c r="A24" t="s">
        <v>25</v>
      </c>
      <c r="B24" t="s">
        <v>18</v>
      </c>
      <c r="C24">
        <v>0.75062200000000001</v>
      </c>
      <c r="D24">
        <v>1.1183E-2</v>
      </c>
      <c r="E24">
        <v>2.4299999999999999E-2</v>
      </c>
      <c r="F24">
        <v>7.1473999999999996E-2</v>
      </c>
      <c r="G24">
        <v>3.6269999999999997E-2</v>
      </c>
      <c r="H24">
        <v>0.74423899999999998</v>
      </c>
      <c r="I24">
        <v>9.5919999999999998E-3</v>
      </c>
      <c r="J24">
        <v>2.1760999999999999E-2</v>
      </c>
      <c r="K24">
        <v>6.4000000000000001E-2</v>
      </c>
      <c r="L24">
        <v>3.2479000000000001E-2</v>
      </c>
    </row>
    <row r="25" spans="1:12" x14ac:dyDescent="0.4">
      <c r="A25" t="s">
        <v>26</v>
      </c>
      <c r="B25" t="s">
        <v>18</v>
      </c>
      <c r="C25">
        <v>0.75062200000000001</v>
      </c>
      <c r="D25">
        <v>1.1183E-2</v>
      </c>
      <c r="E25">
        <v>2.4299999999999999E-2</v>
      </c>
      <c r="F25">
        <v>7.1473999999999996E-2</v>
      </c>
      <c r="G25">
        <v>3.6269999999999997E-2</v>
      </c>
      <c r="H25">
        <v>0.74423899999999998</v>
      </c>
      <c r="I25">
        <v>9.5919999999999998E-3</v>
      </c>
      <c r="J25">
        <v>2.1760999999999999E-2</v>
      </c>
      <c r="K25">
        <v>6.4000000000000001E-2</v>
      </c>
      <c r="L25">
        <v>3.2479000000000001E-2</v>
      </c>
    </row>
    <row r="26" spans="1:12" x14ac:dyDescent="0.4">
      <c r="A26" t="s">
        <v>27</v>
      </c>
      <c r="B26" t="s">
        <v>18</v>
      </c>
      <c r="C26">
        <v>0.75062200000000001</v>
      </c>
      <c r="D26">
        <v>1.1183E-2</v>
      </c>
      <c r="E26">
        <v>2.4299999999999999E-2</v>
      </c>
      <c r="F26">
        <v>7.1473999999999996E-2</v>
      </c>
      <c r="G26">
        <v>3.6269999999999997E-2</v>
      </c>
      <c r="H26">
        <v>0.74423899999999998</v>
      </c>
      <c r="I26">
        <v>9.5919999999999998E-3</v>
      </c>
      <c r="J26">
        <v>2.1760999999999999E-2</v>
      </c>
      <c r="K26">
        <v>6.4000000000000001E-2</v>
      </c>
      <c r="L26">
        <v>3.2479000000000001E-2</v>
      </c>
    </row>
    <row r="27" spans="1:12" x14ac:dyDescent="0.4">
      <c r="A27" t="s">
        <v>28</v>
      </c>
      <c r="B27" t="s">
        <v>18</v>
      </c>
      <c r="C27">
        <v>0.75062200000000001</v>
      </c>
      <c r="D27">
        <v>1.1183E-2</v>
      </c>
      <c r="E27">
        <v>2.4299999999999999E-2</v>
      </c>
      <c r="F27">
        <v>7.1473999999999996E-2</v>
      </c>
      <c r="G27">
        <v>3.6269999999999997E-2</v>
      </c>
      <c r="H27">
        <v>0.74423899999999998</v>
      </c>
      <c r="I27">
        <v>9.5919999999999998E-3</v>
      </c>
      <c r="J27">
        <v>2.1760999999999999E-2</v>
      </c>
      <c r="K27">
        <v>6.4000000000000001E-2</v>
      </c>
      <c r="L27">
        <v>3.2479000000000001E-2</v>
      </c>
    </row>
    <row r="28" spans="1:12" x14ac:dyDescent="0.4">
      <c r="A28" t="s">
        <v>29</v>
      </c>
      <c r="B28" t="s">
        <v>18</v>
      </c>
      <c r="C28">
        <v>0.75062200000000001</v>
      </c>
      <c r="D28">
        <v>1.1183E-2</v>
      </c>
      <c r="E28">
        <v>2.4299999999999999E-2</v>
      </c>
      <c r="F28">
        <v>7.1473999999999996E-2</v>
      </c>
      <c r="G28">
        <v>3.6269999999999997E-2</v>
      </c>
      <c r="H28">
        <v>0.74423899999999998</v>
      </c>
      <c r="I28">
        <v>9.5919999999999998E-3</v>
      </c>
      <c r="J28">
        <v>2.1760999999999999E-2</v>
      </c>
      <c r="K28">
        <v>6.4000000000000001E-2</v>
      </c>
      <c r="L28">
        <v>3.2479000000000001E-2</v>
      </c>
    </row>
    <row r="29" spans="1:12" x14ac:dyDescent="0.4">
      <c r="A29" t="s">
        <v>30</v>
      </c>
      <c r="B29" t="s">
        <v>18</v>
      </c>
      <c r="C29">
        <v>0.75062200000000001</v>
      </c>
      <c r="D29">
        <v>1.1183E-2</v>
      </c>
      <c r="E29">
        <v>2.4299999999999999E-2</v>
      </c>
      <c r="F29">
        <v>7.1473999999999996E-2</v>
      </c>
      <c r="G29">
        <v>3.6269999999999997E-2</v>
      </c>
      <c r="H29">
        <v>0.74423899999999998</v>
      </c>
      <c r="I29">
        <v>9.5919999999999998E-3</v>
      </c>
      <c r="J29">
        <v>2.1760999999999999E-2</v>
      </c>
      <c r="K29">
        <v>6.4000000000000001E-2</v>
      </c>
      <c r="L29">
        <v>3.2479000000000001E-2</v>
      </c>
    </row>
    <row r="30" spans="1:12" x14ac:dyDescent="0.4">
      <c r="A30" t="s">
        <v>31</v>
      </c>
      <c r="B30" t="s">
        <v>18</v>
      </c>
      <c r="C30">
        <v>0.75062200000000001</v>
      </c>
      <c r="D30">
        <v>1.1183E-2</v>
      </c>
      <c r="E30">
        <v>2.4299999999999999E-2</v>
      </c>
      <c r="F30">
        <v>7.1473999999999996E-2</v>
      </c>
      <c r="G30">
        <v>3.6269999999999997E-2</v>
      </c>
      <c r="H30">
        <v>0.74423899999999998</v>
      </c>
      <c r="I30">
        <v>9.5919999999999998E-3</v>
      </c>
      <c r="J30">
        <v>2.1760999999999999E-2</v>
      </c>
      <c r="K30">
        <v>6.4000000000000001E-2</v>
      </c>
      <c r="L30">
        <v>3.2479000000000001E-2</v>
      </c>
    </row>
    <row r="31" spans="1:12" x14ac:dyDescent="0.4">
      <c r="A31" t="s">
        <v>32</v>
      </c>
      <c r="B31" t="s">
        <v>18</v>
      </c>
      <c r="C31">
        <v>0.75062200000000001</v>
      </c>
      <c r="D31">
        <v>1.1183E-2</v>
      </c>
      <c r="E31">
        <v>2.4299999999999999E-2</v>
      </c>
      <c r="F31">
        <v>7.1473999999999996E-2</v>
      </c>
      <c r="G31">
        <v>3.6269999999999997E-2</v>
      </c>
      <c r="H31">
        <v>0.74423899999999998</v>
      </c>
      <c r="I31">
        <v>9.5919999999999998E-3</v>
      </c>
      <c r="J31">
        <v>2.1760999999999999E-2</v>
      </c>
      <c r="K31">
        <v>6.4000000000000001E-2</v>
      </c>
      <c r="L31">
        <v>3.2479000000000001E-2</v>
      </c>
    </row>
    <row r="32" spans="1:12" x14ac:dyDescent="0.4">
      <c r="A32" t="s">
        <v>33</v>
      </c>
      <c r="B32" t="s">
        <v>18</v>
      </c>
      <c r="C32">
        <v>0.75062200000000001</v>
      </c>
      <c r="D32">
        <v>1.1183E-2</v>
      </c>
      <c r="E32">
        <v>2.4299999999999999E-2</v>
      </c>
      <c r="F32">
        <v>7.1473999999999996E-2</v>
      </c>
      <c r="G32">
        <v>3.6269999999999997E-2</v>
      </c>
      <c r="H32">
        <v>0.74423899999999998</v>
      </c>
      <c r="I32">
        <v>9.5919999999999998E-3</v>
      </c>
      <c r="J32">
        <v>2.1760999999999999E-2</v>
      </c>
      <c r="K32">
        <v>6.4000000000000001E-2</v>
      </c>
      <c r="L32">
        <v>3.2479000000000001E-2</v>
      </c>
    </row>
    <row r="33" spans="1:12" x14ac:dyDescent="0.4">
      <c r="A33" t="s">
        <v>34</v>
      </c>
      <c r="B33" t="s">
        <v>18</v>
      </c>
      <c r="C33">
        <v>0.75062200000000001</v>
      </c>
      <c r="D33">
        <v>1.1183E-2</v>
      </c>
      <c r="E33">
        <v>2.4299999999999999E-2</v>
      </c>
      <c r="F33">
        <v>7.1473999999999996E-2</v>
      </c>
      <c r="G33">
        <v>3.6269999999999997E-2</v>
      </c>
      <c r="H33">
        <v>0.74423899999999998</v>
      </c>
      <c r="I33">
        <v>9.5919999999999998E-3</v>
      </c>
      <c r="J33">
        <v>2.1760999999999999E-2</v>
      </c>
      <c r="K33">
        <v>6.4000000000000001E-2</v>
      </c>
      <c r="L33">
        <v>3.2479000000000001E-2</v>
      </c>
    </row>
    <row r="34" spans="1:12" x14ac:dyDescent="0.4">
      <c r="A34" t="s">
        <v>35</v>
      </c>
      <c r="B34" t="s">
        <v>18</v>
      </c>
      <c r="C34">
        <v>0.75062200000000001</v>
      </c>
      <c r="D34">
        <v>1.1183E-2</v>
      </c>
      <c r="E34">
        <v>2.4299999999999999E-2</v>
      </c>
      <c r="F34">
        <v>7.1473999999999996E-2</v>
      </c>
      <c r="G34">
        <v>3.6269999999999997E-2</v>
      </c>
      <c r="H34">
        <v>0.74423899999999998</v>
      </c>
      <c r="I34">
        <v>9.5919999999999998E-3</v>
      </c>
      <c r="J34">
        <v>2.1760999999999999E-2</v>
      </c>
      <c r="K34">
        <v>6.4000000000000001E-2</v>
      </c>
      <c r="L34">
        <v>3.2479000000000001E-2</v>
      </c>
    </row>
    <row r="35" spans="1:12" x14ac:dyDescent="0.4">
      <c r="A35" t="s">
        <v>28</v>
      </c>
      <c r="B35" t="s">
        <v>20</v>
      </c>
      <c r="C35">
        <v>0.89046199999999998</v>
      </c>
      <c r="D35">
        <v>3.0533999999999999E-2</v>
      </c>
      <c r="E35">
        <v>1.1675E-2</v>
      </c>
      <c r="F35">
        <v>0.56600899999999998</v>
      </c>
      <c r="G35">
        <v>2.2877999999999999E-2</v>
      </c>
      <c r="H35">
        <v>0.88475099999999995</v>
      </c>
      <c r="I35">
        <v>2.7473999999999998E-2</v>
      </c>
      <c r="J35">
        <v>1.1403E-2</v>
      </c>
      <c r="K35">
        <v>0.55400000000000005</v>
      </c>
      <c r="L35">
        <v>2.2346000000000001E-2</v>
      </c>
    </row>
    <row r="36" spans="1:12" x14ac:dyDescent="0.4">
      <c r="A36" t="s">
        <v>31</v>
      </c>
      <c r="B36" t="s">
        <v>20</v>
      </c>
      <c r="C36">
        <v>0.84587199999999996</v>
      </c>
      <c r="D36">
        <v>2.7649E-2</v>
      </c>
      <c r="E36">
        <v>7.6889999999999997E-3</v>
      </c>
      <c r="F36">
        <v>0.56322300000000003</v>
      </c>
      <c r="G36">
        <v>1.5169999999999999E-2</v>
      </c>
      <c r="H36">
        <v>0.83794900000000005</v>
      </c>
      <c r="I36">
        <v>2.4767000000000001E-2</v>
      </c>
      <c r="J36">
        <v>7.4159999999999998E-3</v>
      </c>
      <c r="K36">
        <v>0.54474999999999996</v>
      </c>
      <c r="L36">
        <v>1.4631999999999999E-2</v>
      </c>
    </row>
    <row r="37" spans="1:12" x14ac:dyDescent="0.4">
      <c r="A37" t="s">
        <v>37</v>
      </c>
      <c r="B37" t="s">
        <v>20</v>
      </c>
      <c r="C37">
        <v>0.73170900000000005</v>
      </c>
      <c r="D37">
        <v>3.0218999999999999E-2</v>
      </c>
      <c r="E37">
        <v>3.7850000000000002E-3</v>
      </c>
      <c r="F37">
        <v>0.48896299999999998</v>
      </c>
      <c r="G37">
        <v>7.5129999999999997E-3</v>
      </c>
      <c r="H37">
        <v>0.72606199999999999</v>
      </c>
      <c r="I37">
        <v>2.4507999999999999E-2</v>
      </c>
      <c r="J37">
        <v>3.6419999999999998E-3</v>
      </c>
      <c r="K37">
        <v>0.47075</v>
      </c>
      <c r="L37">
        <v>7.2290000000000002E-3</v>
      </c>
    </row>
    <row r="38" spans="1:12" x14ac:dyDescent="0.4">
      <c r="A38" t="s">
        <v>22</v>
      </c>
      <c r="B38" t="s">
        <v>20</v>
      </c>
      <c r="C38">
        <v>0.73170900000000005</v>
      </c>
      <c r="D38">
        <v>3.0218999999999999E-2</v>
      </c>
      <c r="E38">
        <v>3.7850000000000002E-3</v>
      </c>
      <c r="F38">
        <v>0.48896299999999998</v>
      </c>
      <c r="G38">
        <v>7.5129999999999997E-3</v>
      </c>
      <c r="H38">
        <v>0.72606199999999999</v>
      </c>
      <c r="I38">
        <v>2.4507999999999999E-2</v>
      </c>
      <c r="J38">
        <v>3.6419999999999998E-3</v>
      </c>
      <c r="K38">
        <v>0.47075</v>
      </c>
      <c r="L38">
        <v>7.2290000000000002E-3</v>
      </c>
    </row>
    <row r="39" spans="1:12" x14ac:dyDescent="0.4">
      <c r="A39" t="s">
        <v>23</v>
      </c>
      <c r="B39" t="s">
        <v>20</v>
      </c>
      <c r="C39">
        <v>0.73170900000000005</v>
      </c>
      <c r="D39">
        <v>3.0218999999999999E-2</v>
      </c>
      <c r="E39">
        <v>3.7850000000000002E-3</v>
      </c>
      <c r="F39">
        <v>0.48896299999999998</v>
      </c>
      <c r="G39">
        <v>7.5129999999999997E-3</v>
      </c>
      <c r="H39">
        <v>0.72606199999999999</v>
      </c>
      <c r="I39">
        <v>2.4507999999999999E-2</v>
      </c>
      <c r="J39">
        <v>3.6419999999999998E-3</v>
      </c>
      <c r="K39">
        <v>0.47075</v>
      </c>
      <c r="L39">
        <v>7.2290000000000002E-3</v>
      </c>
    </row>
    <row r="40" spans="1:12" x14ac:dyDescent="0.4">
      <c r="A40" t="s">
        <v>24</v>
      </c>
      <c r="B40" t="s">
        <v>20</v>
      </c>
      <c r="C40">
        <v>0.73170900000000005</v>
      </c>
      <c r="D40">
        <v>3.0218999999999999E-2</v>
      </c>
      <c r="E40">
        <v>3.7850000000000002E-3</v>
      </c>
      <c r="F40">
        <v>0.48896299999999998</v>
      </c>
      <c r="G40">
        <v>7.5129999999999997E-3</v>
      </c>
      <c r="H40">
        <v>0.72606199999999999</v>
      </c>
      <c r="I40">
        <v>2.4507999999999999E-2</v>
      </c>
      <c r="J40">
        <v>3.6419999999999998E-3</v>
      </c>
      <c r="K40">
        <v>0.47075</v>
      </c>
      <c r="L40">
        <v>7.2290000000000002E-3</v>
      </c>
    </row>
    <row r="41" spans="1:12" x14ac:dyDescent="0.4">
      <c r="A41" t="s">
        <v>25</v>
      </c>
      <c r="B41" t="s">
        <v>20</v>
      </c>
      <c r="C41">
        <v>0.73170900000000005</v>
      </c>
      <c r="D41">
        <v>3.0218999999999999E-2</v>
      </c>
      <c r="E41">
        <v>3.7850000000000002E-3</v>
      </c>
      <c r="F41">
        <v>0.48896299999999998</v>
      </c>
      <c r="G41">
        <v>7.5129999999999997E-3</v>
      </c>
      <c r="H41">
        <v>0.72606199999999999</v>
      </c>
      <c r="I41">
        <v>2.4507999999999999E-2</v>
      </c>
      <c r="J41">
        <v>3.6419999999999998E-3</v>
      </c>
      <c r="K41">
        <v>0.47075</v>
      </c>
      <c r="L41">
        <v>7.2290000000000002E-3</v>
      </c>
    </row>
    <row r="42" spans="1:12" x14ac:dyDescent="0.4">
      <c r="A42" t="s">
        <v>26</v>
      </c>
      <c r="B42" t="s">
        <v>20</v>
      </c>
      <c r="C42">
        <v>0.73170900000000005</v>
      </c>
      <c r="D42">
        <v>3.0218999999999999E-2</v>
      </c>
      <c r="E42">
        <v>3.7850000000000002E-3</v>
      </c>
      <c r="F42">
        <v>0.48896299999999998</v>
      </c>
      <c r="G42">
        <v>7.5129999999999997E-3</v>
      </c>
      <c r="H42">
        <v>0.72606199999999999</v>
      </c>
      <c r="I42">
        <v>2.4507999999999999E-2</v>
      </c>
      <c r="J42">
        <v>3.6419999999999998E-3</v>
      </c>
      <c r="K42">
        <v>0.47075</v>
      </c>
      <c r="L42">
        <v>7.2290000000000002E-3</v>
      </c>
    </row>
    <row r="43" spans="1:12" x14ac:dyDescent="0.4">
      <c r="A43" t="s">
        <v>27</v>
      </c>
      <c r="B43" t="s">
        <v>20</v>
      </c>
      <c r="C43">
        <v>0.73170900000000005</v>
      </c>
      <c r="D43">
        <v>3.0218999999999999E-2</v>
      </c>
      <c r="E43">
        <v>3.7850000000000002E-3</v>
      </c>
      <c r="F43">
        <v>0.48896299999999998</v>
      </c>
      <c r="G43">
        <v>7.5129999999999997E-3</v>
      </c>
      <c r="H43">
        <v>0.72606199999999999</v>
      </c>
      <c r="I43">
        <v>2.4507999999999999E-2</v>
      </c>
      <c r="J43">
        <v>3.6419999999999998E-3</v>
      </c>
      <c r="K43">
        <v>0.47075</v>
      </c>
      <c r="L43">
        <v>7.2290000000000002E-3</v>
      </c>
    </row>
    <row r="44" spans="1:12" x14ac:dyDescent="0.4">
      <c r="A44" t="s">
        <v>34</v>
      </c>
      <c r="B44" t="s">
        <v>20</v>
      </c>
      <c r="C44">
        <v>0.73170900000000005</v>
      </c>
      <c r="D44">
        <v>3.0218999999999999E-2</v>
      </c>
      <c r="E44">
        <v>3.7850000000000002E-3</v>
      </c>
      <c r="F44">
        <v>0.48896299999999998</v>
      </c>
      <c r="G44">
        <v>7.5129999999999997E-3</v>
      </c>
      <c r="H44">
        <v>0.72606199999999999</v>
      </c>
      <c r="I44">
        <v>2.4507999999999999E-2</v>
      </c>
      <c r="J44">
        <v>3.6419999999999998E-3</v>
      </c>
      <c r="K44">
        <v>0.47075</v>
      </c>
      <c r="L44">
        <v>7.2290000000000002E-3</v>
      </c>
    </row>
    <row r="45" spans="1:12" x14ac:dyDescent="0.4">
      <c r="A45" t="s">
        <v>32</v>
      </c>
      <c r="B45" t="s">
        <v>20</v>
      </c>
      <c r="C45">
        <v>0.75094700000000003</v>
      </c>
      <c r="D45">
        <v>3.1102000000000001E-2</v>
      </c>
      <c r="E45">
        <v>3.7580000000000001E-3</v>
      </c>
      <c r="F45">
        <v>0.54125599999999996</v>
      </c>
      <c r="G45">
        <v>7.4650000000000003E-3</v>
      </c>
      <c r="H45">
        <v>0.74327600000000005</v>
      </c>
      <c r="I45">
        <v>2.6880999999999999E-2</v>
      </c>
      <c r="J45">
        <v>3.6619999999999999E-3</v>
      </c>
      <c r="K45">
        <v>0.52749999999999997</v>
      </c>
      <c r="L45">
        <v>7.273E-3</v>
      </c>
    </row>
    <row r="46" spans="1:12" x14ac:dyDescent="0.4">
      <c r="A46" t="s">
        <v>35</v>
      </c>
      <c r="B46" t="s">
        <v>20</v>
      </c>
      <c r="C46">
        <v>0.61895500000000003</v>
      </c>
      <c r="D46">
        <v>8.2605999999999999E-2</v>
      </c>
      <c r="E46">
        <v>2.7049999999999999E-3</v>
      </c>
      <c r="F46">
        <v>0.44095600000000001</v>
      </c>
      <c r="G46">
        <v>5.3759999999999997E-3</v>
      </c>
      <c r="H46">
        <v>0.61134599999999995</v>
      </c>
      <c r="I46">
        <v>7.8262999999999999E-2</v>
      </c>
      <c r="J46">
        <v>2.6389999999999999E-3</v>
      </c>
      <c r="K46">
        <v>0.43075000000000002</v>
      </c>
      <c r="L46">
        <v>5.2449999999999997E-3</v>
      </c>
    </row>
    <row r="47" spans="1:12" x14ac:dyDescent="0.4">
      <c r="A47" t="s">
        <v>17</v>
      </c>
      <c r="B47" t="s">
        <v>19</v>
      </c>
      <c r="C47">
        <v>0.56666799999999995</v>
      </c>
      <c r="D47">
        <v>2.2200000000000002E-3</v>
      </c>
      <c r="E47">
        <v>0</v>
      </c>
      <c r="F47">
        <v>0</v>
      </c>
      <c r="G47">
        <v>0</v>
      </c>
      <c r="H47">
        <v>0.56662299999999999</v>
      </c>
      <c r="I47">
        <v>2.0899999999999998E-3</v>
      </c>
      <c r="J47">
        <v>0</v>
      </c>
      <c r="K47">
        <v>0</v>
      </c>
      <c r="L47">
        <v>0</v>
      </c>
    </row>
    <row r="48" spans="1:12" x14ac:dyDescent="0.4">
      <c r="A48" t="s">
        <v>22</v>
      </c>
      <c r="B48" t="s">
        <v>19</v>
      </c>
      <c r="C48">
        <v>0.56666799999999995</v>
      </c>
      <c r="D48">
        <v>2.2200000000000002E-3</v>
      </c>
      <c r="E48">
        <v>0</v>
      </c>
      <c r="F48">
        <v>0</v>
      </c>
      <c r="G48">
        <v>0</v>
      </c>
      <c r="H48">
        <v>0.56662299999999999</v>
      </c>
      <c r="I48">
        <v>2.0899999999999998E-3</v>
      </c>
      <c r="J48">
        <v>0</v>
      </c>
      <c r="K48">
        <v>0</v>
      </c>
      <c r="L48">
        <v>0</v>
      </c>
    </row>
    <row r="49" spans="1:12" x14ac:dyDescent="0.4">
      <c r="A49" t="s">
        <v>23</v>
      </c>
      <c r="B49" t="s">
        <v>19</v>
      </c>
      <c r="C49">
        <v>0.56666799999999995</v>
      </c>
      <c r="D49">
        <v>2.2200000000000002E-3</v>
      </c>
      <c r="E49">
        <v>0</v>
      </c>
      <c r="F49">
        <v>0</v>
      </c>
      <c r="G49">
        <v>0</v>
      </c>
      <c r="H49">
        <v>0.56662299999999999</v>
      </c>
      <c r="I49">
        <v>2.0899999999999998E-3</v>
      </c>
      <c r="J49">
        <v>0</v>
      </c>
      <c r="K49">
        <v>0</v>
      </c>
      <c r="L49">
        <v>0</v>
      </c>
    </row>
    <row r="50" spans="1:12" x14ac:dyDescent="0.4">
      <c r="A50" t="s">
        <v>24</v>
      </c>
      <c r="B50" t="s">
        <v>19</v>
      </c>
      <c r="C50">
        <v>0.56666799999999995</v>
      </c>
      <c r="D50">
        <v>2.2200000000000002E-3</v>
      </c>
      <c r="E50">
        <v>0</v>
      </c>
      <c r="F50">
        <v>0</v>
      </c>
      <c r="G50">
        <v>0</v>
      </c>
      <c r="H50">
        <v>0.56662299999999999</v>
      </c>
      <c r="I50">
        <v>2.0899999999999998E-3</v>
      </c>
      <c r="J50">
        <v>0</v>
      </c>
      <c r="K50">
        <v>0</v>
      </c>
      <c r="L50">
        <v>0</v>
      </c>
    </row>
    <row r="51" spans="1:12" x14ac:dyDescent="0.4">
      <c r="A51" t="s">
        <v>25</v>
      </c>
      <c r="B51" t="s">
        <v>19</v>
      </c>
      <c r="C51">
        <v>0.56666799999999995</v>
      </c>
      <c r="D51">
        <v>2.2200000000000002E-3</v>
      </c>
      <c r="E51">
        <v>0</v>
      </c>
      <c r="F51">
        <v>0</v>
      </c>
      <c r="G51">
        <v>0</v>
      </c>
      <c r="H51">
        <v>0.56662299999999999</v>
      </c>
      <c r="I51">
        <v>2.0899999999999998E-3</v>
      </c>
      <c r="J51">
        <v>0</v>
      </c>
      <c r="K51">
        <v>0</v>
      </c>
      <c r="L51">
        <v>0</v>
      </c>
    </row>
    <row r="52" spans="1:12" x14ac:dyDescent="0.4">
      <c r="A52" t="s">
        <v>26</v>
      </c>
      <c r="B52" t="s">
        <v>19</v>
      </c>
      <c r="C52">
        <v>0.56666799999999995</v>
      </c>
      <c r="D52">
        <v>2.2200000000000002E-3</v>
      </c>
      <c r="E52">
        <v>0</v>
      </c>
      <c r="F52">
        <v>0</v>
      </c>
      <c r="G52">
        <v>0</v>
      </c>
      <c r="H52">
        <v>0.56662299999999999</v>
      </c>
      <c r="I52">
        <v>2.0899999999999998E-3</v>
      </c>
      <c r="J52">
        <v>0</v>
      </c>
      <c r="K52">
        <v>0</v>
      </c>
      <c r="L52">
        <v>0</v>
      </c>
    </row>
    <row r="53" spans="1:12" x14ac:dyDescent="0.4">
      <c r="A53" t="s">
        <v>27</v>
      </c>
      <c r="B53" t="s">
        <v>19</v>
      </c>
      <c r="C53">
        <v>0.56666799999999995</v>
      </c>
      <c r="D53">
        <v>2.2200000000000002E-3</v>
      </c>
      <c r="E53">
        <v>0</v>
      </c>
      <c r="F53">
        <v>0</v>
      </c>
      <c r="G53">
        <v>0</v>
      </c>
      <c r="H53">
        <v>0.56662299999999999</v>
      </c>
      <c r="I53">
        <v>2.0899999999999998E-3</v>
      </c>
      <c r="J53">
        <v>0</v>
      </c>
      <c r="K53">
        <v>0</v>
      </c>
      <c r="L53">
        <v>0</v>
      </c>
    </row>
    <row r="54" spans="1:12" x14ac:dyDescent="0.4">
      <c r="A54" t="s">
        <v>28</v>
      </c>
      <c r="B54" t="s">
        <v>19</v>
      </c>
      <c r="C54">
        <v>0.56666799999999995</v>
      </c>
      <c r="D54">
        <v>2.2200000000000002E-3</v>
      </c>
      <c r="E54">
        <v>0</v>
      </c>
      <c r="F54">
        <v>0</v>
      </c>
      <c r="G54">
        <v>0</v>
      </c>
      <c r="H54">
        <v>0.56662299999999999</v>
      </c>
      <c r="I54">
        <v>2.0899999999999998E-3</v>
      </c>
      <c r="J54">
        <v>0</v>
      </c>
      <c r="K54">
        <v>0</v>
      </c>
      <c r="L54">
        <v>0</v>
      </c>
    </row>
    <row r="55" spans="1:12" x14ac:dyDescent="0.4">
      <c r="A55" t="s">
        <v>29</v>
      </c>
      <c r="B55" t="s">
        <v>19</v>
      </c>
      <c r="C55">
        <v>0.56666799999999995</v>
      </c>
      <c r="D55">
        <v>2.2200000000000002E-3</v>
      </c>
      <c r="E55">
        <v>0</v>
      </c>
      <c r="F55">
        <v>0</v>
      </c>
      <c r="G55">
        <v>0</v>
      </c>
      <c r="H55">
        <v>0.56662299999999999</v>
      </c>
      <c r="I55">
        <v>2.0899999999999998E-3</v>
      </c>
      <c r="J55">
        <v>0</v>
      </c>
      <c r="K55">
        <v>0</v>
      </c>
      <c r="L55">
        <v>0</v>
      </c>
    </row>
    <row r="56" spans="1:12" x14ac:dyDescent="0.4">
      <c r="A56" t="s">
        <v>30</v>
      </c>
      <c r="B56" t="s">
        <v>19</v>
      </c>
      <c r="C56">
        <v>0.56666799999999995</v>
      </c>
      <c r="D56">
        <v>2.2200000000000002E-3</v>
      </c>
      <c r="E56">
        <v>0</v>
      </c>
      <c r="F56">
        <v>0</v>
      </c>
      <c r="G56">
        <v>0</v>
      </c>
      <c r="H56">
        <v>0.56662299999999999</v>
      </c>
      <c r="I56">
        <v>2.0899999999999998E-3</v>
      </c>
      <c r="J56">
        <v>0</v>
      </c>
      <c r="K56">
        <v>0</v>
      </c>
      <c r="L56">
        <v>0</v>
      </c>
    </row>
    <row r="57" spans="1:12" x14ac:dyDescent="0.4">
      <c r="A57" t="s">
        <v>31</v>
      </c>
      <c r="B57" t="s">
        <v>19</v>
      </c>
      <c r="C57">
        <v>0.56666799999999995</v>
      </c>
      <c r="D57">
        <v>2.2200000000000002E-3</v>
      </c>
      <c r="E57">
        <v>0</v>
      </c>
      <c r="F57">
        <v>0</v>
      </c>
      <c r="G57">
        <v>0</v>
      </c>
      <c r="H57">
        <v>0.56662299999999999</v>
      </c>
      <c r="I57">
        <v>2.0899999999999998E-3</v>
      </c>
      <c r="J57">
        <v>0</v>
      </c>
      <c r="K57">
        <v>0</v>
      </c>
      <c r="L57">
        <v>0</v>
      </c>
    </row>
    <row r="58" spans="1:12" x14ac:dyDescent="0.4">
      <c r="A58" t="s">
        <v>32</v>
      </c>
      <c r="B58" t="s">
        <v>19</v>
      </c>
      <c r="C58">
        <v>0.56666799999999995</v>
      </c>
      <c r="D58">
        <v>2.2200000000000002E-3</v>
      </c>
      <c r="E58">
        <v>0</v>
      </c>
      <c r="F58">
        <v>0</v>
      </c>
      <c r="G58">
        <v>0</v>
      </c>
      <c r="H58">
        <v>0.56662299999999999</v>
      </c>
      <c r="I58">
        <v>2.0899999999999998E-3</v>
      </c>
      <c r="J58">
        <v>0</v>
      </c>
      <c r="K58">
        <v>0</v>
      </c>
      <c r="L58">
        <v>0</v>
      </c>
    </row>
    <row r="59" spans="1:12" x14ac:dyDescent="0.4">
      <c r="A59" t="s">
        <v>33</v>
      </c>
      <c r="B59" t="s">
        <v>19</v>
      </c>
      <c r="C59">
        <v>0.56666799999999995</v>
      </c>
      <c r="D59">
        <v>2.2200000000000002E-3</v>
      </c>
      <c r="E59">
        <v>0</v>
      </c>
      <c r="F59">
        <v>0</v>
      </c>
      <c r="G59">
        <v>0</v>
      </c>
      <c r="H59">
        <v>0.56662299999999999</v>
      </c>
      <c r="I59">
        <v>2.0899999999999998E-3</v>
      </c>
      <c r="J59">
        <v>0</v>
      </c>
      <c r="K59">
        <v>0</v>
      </c>
      <c r="L59">
        <v>0</v>
      </c>
    </row>
    <row r="60" spans="1:12" x14ac:dyDescent="0.4">
      <c r="A60" t="s">
        <v>39</v>
      </c>
      <c r="B60" t="s">
        <v>19</v>
      </c>
      <c r="C60">
        <v>0.56666799999999995</v>
      </c>
      <c r="D60">
        <v>2.2200000000000002E-3</v>
      </c>
      <c r="E60">
        <v>0</v>
      </c>
      <c r="F60">
        <v>0</v>
      </c>
      <c r="G60">
        <v>0</v>
      </c>
      <c r="H60">
        <v>0.56662299999999999</v>
      </c>
      <c r="I60">
        <v>2.0899999999999998E-3</v>
      </c>
      <c r="J60">
        <v>0</v>
      </c>
      <c r="K60">
        <v>0</v>
      </c>
      <c r="L60">
        <v>0</v>
      </c>
    </row>
    <row r="61" spans="1:12" x14ac:dyDescent="0.4">
      <c r="A61" t="s">
        <v>38</v>
      </c>
      <c r="B61" t="s">
        <v>40</v>
      </c>
      <c r="C61">
        <v>0.56666799999999995</v>
      </c>
      <c r="D61">
        <v>2.2200000000000002E-3</v>
      </c>
      <c r="E61">
        <v>0</v>
      </c>
      <c r="F61">
        <v>0</v>
      </c>
      <c r="G61">
        <v>0</v>
      </c>
      <c r="H61">
        <v>0.56662299999999999</v>
      </c>
      <c r="I61">
        <v>2.0899999999999998E-3</v>
      </c>
      <c r="J61">
        <v>0</v>
      </c>
      <c r="K61">
        <v>0</v>
      </c>
      <c r="L61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ADD1E-8E40-4CEE-97A6-FB39B158C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Result02</vt:lpstr>
      <vt:lpstr>結果</vt:lpstr>
      <vt:lpstr>使用方法</vt:lpstr>
      <vt:lpstr>Result01</vt:lpstr>
      <vt:lpstr>Result00</vt:lpstr>
      <vt:lpstr>Result_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蔡承珉</dc:creator>
  <cp:lastModifiedBy>蔡承珉</cp:lastModifiedBy>
  <cp:lastPrinted>2025-12-07T13:14:06Z</cp:lastPrinted>
  <dcterms:created xsi:type="dcterms:W3CDTF">2025-12-01T17:27:01Z</dcterms:created>
  <dcterms:modified xsi:type="dcterms:W3CDTF">2025-12-07T14:13:37Z</dcterms:modified>
</cp:coreProperties>
</file>